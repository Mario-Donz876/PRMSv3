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cjamaica-my.sharepoint.com/personal/shaquille_murray_royalecomputers_com/Documents/Documents/QUOTES/MINISTRY OF HEALTH &amp; WELLNESS/GOVERNMENT CHEMIST DEPARTMENT/2026/"/>
    </mc:Choice>
  </mc:AlternateContent>
  <xr:revisionPtr revIDLastSave="803" documentId="13_ncr:1_{983B6D3D-EC01-460F-A4D7-4C048897EF48}" xr6:coauthVersionLast="47" xr6:coauthVersionMax="47" xr10:uidLastSave="{AFD6B1BF-C4D5-4B29-BD9D-19E32D0F1F0C}"/>
  <bookViews>
    <workbookView xWindow="-120" yWindow="-120" windowWidth="29040" windowHeight="15840" xr2:uid="{00000000-000D-0000-FFFF-FFFF00000000}"/>
  </bookViews>
  <sheets>
    <sheet name="Pro-forma invoice" sheetId="1" r:id="rId1"/>
  </sheets>
  <definedNames>
    <definedName name="_xlnm.Print_Area" localSheetId="0">'Pro-forma invoice'!$A$1:$G$31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2" i="1" l="1"/>
  <c r="G20" i="1" l="1"/>
  <c r="G13" i="1" l="1"/>
  <c r="G26" i="1" s="1"/>
  <c r="G27" i="1" l="1"/>
  <c r="G28" i="1" s="1"/>
</calcChain>
</file>

<file path=xl/sharedStrings.xml><?xml version="1.0" encoding="utf-8"?>
<sst xmlns="http://schemas.openxmlformats.org/spreadsheetml/2006/main" count="35" uniqueCount="35">
  <si>
    <t>DESCRIPTION</t>
  </si>
  <si>
    <t>UNIT PRICE</t>
  </si>
  <si>
    <t>LINE TOTAL</t>
  </si>
  <si>
    <t>JOB</t>
  </si>
  <si>
    <t>SALES TAX</t>
  </si>
  <si>
    <t>PAYMENT TERMS</t>
  </si>
  <si>
    <t>TO:</t>
  </si>
  <si>
    <t>ACCOUNT EXECUTIVE</t>
  </si>
  <si>
    <t>QUOTE</t>
  </si>
  <si>
    <t>DATE:</t>
  </si>
  <si>
    <t>QTY</t>
  </si>
  <si>
    <t xml:space="preserve">KINGSLEY HARDING </t>
  </si>
  <si>
    <t>MFR#</t>
  </si>
  <si>
    <t>Terms &amp; Conditions</t>
  </si>
  <si>
    <r>
      <t xml:space="preserve">TOTAL </t>
    </r>
    <r>
      <rPr>
        <b/>
        <sz val="14"/>
        <color rgb="FFFF0000"/>
        <rFont val="Calibri"/>
        <family val="2"/>
        <scheme val="minor"/>
      </rPr>
      <t xml:space="preserve"> </t>
    </r>
  </si>
  <si>
    <t>SUB-TOTAL</t>
  </si>
  <si>
    <t>Proforma Invoice#:</t>
  </si>
  <si>
    <r>
      <t xml:space="preserve">1. All ETA dates commence on receival of purchase order(s).  
2. Payment terms are as per agreement with Royale Computers &amp; Accessories Ltd.
3. Prices quoted in </t>
    </r>
    <r>
      <rPr>
        <b/>
        <sz val="14"/>
        <color rgb="FFFF0000"/>
        <rFont val="Calibri"/>
        <family val="2"/>
        <scheme val="minor"/>
      </rPr>
      <t xml:space="preserve">JMD
</t>
    </r>
    <r>
      <rPr>
        <b/>
        <sz val="14"/>
        <rFont val="Calibri"/>
        <family val="2"/>
        <scheme val="minor"/>
      </rPr>
      <t xml:space="preserve">4. </t>
    </r>
    <r>
      <rPr>
        <b/>
        <sz val="14"/>
        <color theme="1"/>
        <rFont val="Calibri"/>
        <family val="2"/>
        <scheme val="minor"/>
      </rPr>
      <t xml:space="preserve">Quotation </t>
    </r>
    <r>
      <rPr>
        <b/>
        <sz val="14"/>
        <color rgb="FFFF0000"/>
        <rFont val="Calibri"/>
        <family val="2"/>
        <scheme val="minor"/>
      </rPr>
      <t>valid until 30 days</t>
    </r>
    <r>
      <rPr>
        <b/>
        <sz val="14"/>
        <color theme="1"/>
        <rFont val="Calibri"/>
        <family val="2"/>
        <scheme val="minor"/>
      </rPr>
      <t>. 
5. Prices are based on requested quantities and are subject to change without notice.</t>
    </r>
    <r>
      <rPr>
        <b/>
        <sz val="14"/>
        <rFont val="Calibri"/>
        <family val="2"/>
        <scheme val="minor"/>
      </rPr>
      <t xml:space="preserve">                                                                                                                                 6.No cash refund.                                                                                                                 7.Original invoice &amp; packaging needed for return &amp; exchanges.                                                                    8. Items with physical damages or with the warranty seal broken will not be returned.                                                                                                                                        9.  20% restocking fee on returns. </t>
    </r>
  </si>
  <si>
    <t>MINISTRY OF HEALTH &amp; WELLNESS - DEPARTMENT OF GOVERNMENT CHEMIST</t>
  </si>
  <si>
    <t>Gabrielle Green</t>
  </si>
  <si>
    <t>DELIVERY TIMELINE</t>
  </si>
  <si>
    <t>2 - 4 Weeks After The Receipt Of The PO</t>
  </si>
  <si>
    <t>MARCH-17-2026</t>
  </si>
  <si>
    <t xml:space="preserve"> MST-ZIA-16-512-KB-SP</t>
  </si>
  <si>
    <t xml:space="preserve">Microsoft Surface Pro 13" 3K 120Hz OLED Touch AI Laptop, 900nits, </t>
  </si>
  <si>
    <t xml:space="preserve">12-Core Snapdragon, 45 Tops NPU, </t>
  </si>
  <si>
    <t xml:space="preserve">16GB RAM,
</t>
  </si>
  <si>
    <t xml:space="preserve">512GB SSD, </t>
  </si>
  <si>
    <t>USB4, Wi-Fi 7, Backlit Keyboard, Stylus, MS 36</t>
  </si>
  <si>
    <t>1 Year Manufacturer Warranty</t>
  </si>
  <si>
    <t>FIN-ECAF009EU</t>
  </si>
  <si>
    <t>Fintie Case for 13 Inch Microsoft Surface Pro 11/10/9 - Multiple Angle Viewing
Portfolio Business Cover with Pocket &amp; Stylus Holder, Compatible with Type Cover</t>
  </si>
  <si>
    <t>DELIVERY</t>
  </si>
  <si>
    <t>Delivery Charge</t>
  </si>
  <si>
    <t>GC170326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</si>
</sst>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[$-409]mmmm\ d\,\ yyyy;@"/>
    <numFmt numFmtId="166" formatCode="m/d/yy;@"/>
    <numFmt numFmtId="167" formatCode="_-[$$-2409]* #,##0.00_-;\-[$$-2409]* #,##0.00_-;_-[$$-2409]* &quot;-&quot;??_-;_-@_-"/>
  </numFmts>
  <fonts count="24" x14ac:knownFonts="1">
    <font>
      <sz val="10"/>
      <name val="Arial"/>
    </font>
    <font>
      <sz val="8"/>
      <name val="Arial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11"/>
      <name val="Trebuchet MS"/>
      <family val="2"/>
    </font>
    <font>
      <sz val="11"/>
      <name val="Arial"/>
      <family val="2"/>
    </font>
    <font>
      <sz val="8"/>
      <name val="Trebuchet MS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Trebuchet MS"/>
      <family val="2"/>
    </font>
    <font>
      <b/>
      <sz val="14"/>
      <name val="Trebuchet MS"/>
      <family val="2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FF0000"/>
      <name val="Trebuchet MS"/>
      <family val="2"/>
    </font>
    <font>
      <b/>
      <sz val="10"/>
      <color rgb="FFFF0000"/>
      <name val="Trebuchet MS"/>
      <family val="2"/>
    </font>
    <font>
      <b/>
      <u/>
      <sz val="14"/>
      <name val="Trebuchet MS"/>
      <family val="2"/>
    </font>
    <font>
      <b/>
      <u/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2"/>
      </left>
      <right/>
      <top style="medium">
        <color indexed="62"/>
      </top>
      <bottom/>
      <diagonal/>
    </border>
    <border>
      <left/>
      <right style="thin">
        <color indexed="62"/>
      </right>
      <top style="medium">
        <color indexed="62"/>
      </top>
      <bottom/>
      <diagonal/>
    </border>
    <border>
      <left style="thin">
        <color indexed="62"/>
      </left>
      <right style="thin">
        <color indexed="62"/>
      </right>
      <top style="medium">
        <color indexed="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164" fontId="9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6" fillId="0" borderId="0" xfId="0" applyFont="1"/>
    <xf numFmtId="0" fontId="2" fillId="0" borderId="0" xfId="0" applyFont="1" applyAlignment="1">
      <alignment horizontal="right"/>
    </xf>
    <xf numFmtId="15" fontId="2" fillId="0" borderId="0" xfId="0" applyNumberFormat="1" applyFont="1" applyAlignment="1">
      <alignment horizontal="center"/>
    </xf>
    <xf numFmtId="0" fontId="3" fillId="0" borderId="0" xfId="0" applyFont="1"/>
    <xf numFmtId="0" fontId="7" fillId="6" borderId="0" xfId="0" applyFont="1" applyFill="1" applyAlignment="1">
      <alignment vertical="center" wrapText="1"/>
    </xf>
    <xf numFmtId="0" fontId="10" fillId="0" borderId="0" xfId="0" applyFont="1"/>
    <xf numFmtId="0" fontId="12" fillId="6" borderId="0" xfId="0" applyFont="1" applyFill="1" applyAlignment="1">
      <alignment vertical="center" wrapText="1"/>
    </xf>
    <xf numFmtId="0" fontId="4" fillId="0" borderId="0" xfId="0" applyFont="1" applyAlignment="1">
      <alignment horizontal="left" wrapText="1" indent="1"/>
    </xf>
    <xf numFmtId="0" fontId="13" fillId="0" borderId="0" xfId="0" applyFont="1"/>
    <xf numFmtId="0" fontId="4" fillId="0" borderId="0" xfId="0" applyFont="1" applyAlignment="1">
      <alignment horizontal="center" wrapText="1"/>
    </xf>
    <xf numFmtId="0" fontId="14" fillId="2" borderId="4" xfId="0" applyFont="1" applyFill="1" applyBorder="1" applyAlignment="1">
      <alignment horizontal="center" vertical="center"/>
    </xf>
    <xf numFmtId="166" fontId="15" fillId="5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/>
    </xf>
    <xf numFmtId="1" fontId="16" fillId="0" borderId="5" xfId="0" applyNumberFormat="1" applyFont="1" applyBorder="1" applyAlignment="1">
      <alignment horizontal="center"/>
    </xf>
    <xf numFmtId="164" fontId="16" fillId="0" borderId="5" xfId="2" applyFont="1" applyBorder="1" applyAlignment="1"/>
    <xf numFmtId="164" fontId="16" fillId="4" borderId="1" xfId="2" applyFont="1" applyFill="1" applyBorder="1" applyAlignment="1"/>
    <xf numFmtId="1" fontId="16" fillId="0" borderId="1" xfId="0" applyNumberFormat="1" applyFont="1" applyBorder="1" applyAlignment="1">
      <alignment horizontal="center" vertical="center"/>
    </xf>
    <xf numFmtId="1" fontId="16" fillId="0" borderId="5" xfId="0" applyNumberFormat="1" applyFont="1" applyBorder="1" applyAlignment="1">
      <alignment horizontal="center" vertical="center"/>
    </xf>
    <xf numFmtId="167" fontId="16" fillId="0" borderId="5" xfId="0" applyNumberFormat="1" applyFont="1" applyBorder="1" applyAlignment="1">
      <alignment vertical="center"/>
    </xf>
    <xf numFmtId="167" fontId="16" fillId="4" borderId="1" xfId="0" applyNumberFormat="1" applyFont="1" applyFill="1" applyBorder="1" applyAlignment="1">
      <alignment vertical="center"/>
    </xf>
    <xf numFmtId="2" fontId="16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right"/>
    </xf>
    <xf numFmtId="164" fontId="16" fillId="4" borderId="1" xfId="0" applyNumberFormat="1" applyFont="1" applyFill="1" applyBorder="1"/>
    <xf numFmtId="0" fontId="17" fillId="0" borderId="0" xfId="1" applyFont="1" applyAlignment="1">
      <alignment vertical="top"/>
    </xf>
    <xf numFmtId="0" fontId="17" fillId="0" borderId="0" xfId="1" applyFont="1" applyAlignment="1">
      <alignment horizontal="center" vertical="top"/>
    </xf>
    <xf numFmtId="0" fontId="17" fillId="3" borderId="0" xfId="0" applyFont="1" applyFill="1" applyAlignment="1">
      <alignment horizontal="right"/>
    </xf>
    <xf numFmtId="164" fontId="16" fillId="0" borderId="1" xfId="2" applyFont="1" applyFill="1" applyBorder="1" applyAlignment="1"/>
    <xf numFmtId="0" fontId="16" fillId="0" borderId="0" xfId="0" applyFont="1"/>
    <xf numFmtId="0" fontId="19" fillId="6" borderId="0" xfId="0" applyFont="1" applyFill="1" applyAlignment="1">
      <alignment vertical="center" wrapText="1"/>
    </xf>
    <xf numFmtId="0" fontId="14" fillId="0" borderId="0" xfId="0" applyFont="1" applyAlignment="1">
      <alignment horizont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0" xfId="0" applyFont="1"/>
    <xf numFmtId="44" fontId="17" fillId="7" borderId="1" xfId="0" applyNumberFormat="1" applyFont="1" applyFill="1" applyBorder="1"/>
    <xf numFmtId="0" fontId="22" fillId="0" borderId="0" xfId="0" applyFont="1" applyAlignment="1">
      <alignment horizontal="left" wrapText="1"/>
    </xf>
    <xf numFmtId="0" fontId="23" fillId="0" borderId="0" xfId="0" applyFont="1" applyAlignment="1">
      <alignment horizontal="right"/>
    </xf>
    <xf numFmtId="0" fontId="17" fillId="0" borderId="0" xfId="0" applyFont="1"/>
    <xf numFmtId="49" fontId="17" fillId="0" borderId="0" xfId="0" applyNumberFormat="1" applyFont="1" applyAlignment="1">
      <alignment horizontal="left" vertical="top"/>
    </xf>
    <xf numFmtId="165" fontId="17" fillId="0" borderId="0" xfId="0" applyNumberFormat="1" applyFont="1" applyAlignment="1">
      <alignment horizontal="right"/>
    </xf>
    <xf numFmtId="0" fontId="16" fillId="0" borderId="5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4" fillId="2" borderId="4" xfId="0" applyFont="1" applyFill="1" applyBorder="1" applyAlignment="1">
      <alignment horizontal="center" vertical="center" wrapText="1"/>
    </xf>
    <xf numFmtId="49" fontId="17" fillId="0" borderId="0" xfId="0" applyNumberFormat="1" applyFont="1"/>
    <xf numFmtId="0" fontId="17" fillId="0" borderId="9" xfId="1" applyFont="1" applyBorder="1" applyAlignment="1">
      <alignment horizontal="center" vertical="top"/>
    </xf>
    <xf numFmtId="0" fontId="14" fillId="2" borderId="2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17" fillId="0" borderId="0" xfId="0" applyFont="1" applyAlignment="1">
      <alignment horizontal="center" wrapText="1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top"/>
    </xf>
    <xf numFmtId="0" fontId="17" fillId="0" borderId="1" xfId="0" applyFont="1" applyBorder="1" applyAlignment="1">
      <alignment horizontal="left" vertical="top" wrapText="1"/>
    </xf>
    <xf numFmtId="0" fontId="17" fillId="0" borderId="9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</cellXfs>
  <cellStyles count="3">
    <cellStyle name="Currency" xfId="2" builtinId="4"/>
    <cellStyle name="Normal" xfId="0" builtinId="0"/>
    <cellStyle name="Normal 2" xfId="1" xr:uid="{57D1C820-2446-4763-B0AB-A6AB064B8DA8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1272886</xdr:colOff>
      <xdr:row>1</xdr:row>
      <xdr:rowOff>139701</xdr:rowOff>
    </xdr:to>
    <xdr:sp macro="" textlink="">
      <xdr:nvSpPr>
        <xdr:cNvPr id="1025" name="Rectangle 2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464636" cy="685224"/>
        </a:xfrm>
        <a:prstGeom prst="rect">
          <a:avLst/>
        </a:prstGeom>
        <a:gradFill rotWithShape="1">
          <a:gsLst>
            <a:gs pos="0">
              <a:srgbClr val="C6D4E8"/>
            </a:gs>
            <a:gs pos="100000">
              <a:srgbClr val="FFFFFF"/>
            </a:gs>
          </a:gsLst>
          <a:lin ang="5400000" scaled="1"/>
        </a:gradFill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50799</xdr:colOff>
      <xdr:row>0</xdr:row>
      <xdr:rowOff>41275</xdr:rowOff>
    </xdr:from>
    <xdr:to>
      <xdr:col>3</xdr:col>
      <xdr:colOff>1339849</xdr:colOff>
      <xdr:row>4</xdr:row>
      <xdr:rowOff>34637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ChangeArrowheads="1"/>
        </xdr:cNvSpPr>
      </xdr:nvSpPr>
      <xdr:spPr bwMode="auto">
        <a:xfrm>
          <a:off x="50799" y="41275"/>
          <a:ext cx="3999345" cy="1837748"/>
        </a:xfrm>
        <a:prstGeom prst="rect">
          <a:avLst/>
        </a:prstGeom>
        <a:solidFill>
          <a:srgbClr val="FFFFFF">
            <a:alpha val="0"/>
          </a:srgbClr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JM" sz="1200" b="1" i="0" strike="noStrike">
              <a:solidFill>
                <a:srgbClr val="000000"/>
              </a:solidFill>
              <a:latin typeface="Trebuchet MS"/>
            </a:rPr>
            <a:t>Royale</a:t>
          </a:r>
          <a:r>
            <a:rPr lang="en-JM" sz="1200" b="1" i="0" strike="noStrike" baseline="0">
              <a:solidFill>
                <a:srgbClr val="000000"/>
              </a:solidFill>
              <a:latin typeface="Trebuchet MS"/>
            </a:rPr>
            <a:t> Computers &amp; Accessories Ltd.</a:t>
          </a:r>
          <a:endParaRPr lang="en-JM" sz="1200" b="1" i="0" strike="noStrike">
            <a:solidFill>
              <a:srgbClr val="000000"/>
            </a:solidFill>
            <a:latin typeface="Trebuchet MS"/>
          </a:endParaRPr>
        </a:p>
        <a:p>
          <a:pPr marL="0" marR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JM" sz="1000" b="0" i="1">
              <a:latin typeface="+mn-lt"/>
              <a:ea typeface="+mn-ea"/>
              <a:cs typeface="+mn-cs"/>
            </a:rPr>
            <a:t>GCT</a:t>
          </a:r>
          <a:r>
            <a:rPr lang="en-JM" sz="1000" b="0" i="1" baseline="0">
              <a:latin typeface="+mn-lt"/>
              <a:ea typeface="+mn-ea"/>
              <a:cs typeface="+mn-cs"/>
            </a:rPr>
            <a:t> # 001710184</a:t>
          </a:r>
          <a:endParaRPr lang="en-JM" sz="1000" b="0" i="1">
            <a:latin typeface="+mn-lt"/>
            <a:ea typeface="+mn-ea"/>
            <a:cs typeface="+mn-cs"/>
          </a:endParaRPr>
        </a:p>
        <a:p>
          <a:pPr algn="l" rtl="1">
            <a:defRPr sz="1000"/>
          </a:pPr>
          <a:endParaRPr lang="en-JM" sz="900" b="0" i="1" strike="noStrike">
            <a:solidFill>
              <a:srgbClr val="000000"/>
            </a:solidFill>
            <a:latin typeface="Trebuchet MS"/>
          </a:endParaRPr>
        </a:p>
        <a:p>
          <a:pPr algn="l" rtl="1">
            <a:defRPr sz="1000"/>
          </a:pPr>
          <a:endParaRPr lang="en-JM" sz="900" b="0" i="1" strike="noStrike">
            <a:solidFill>
              <a:srgbClr val="000000"/>
            </a:solidFill>
            <a:latin typeface="Trebuchet MS"/>
          </a:endParaRPr>
        </a:p>
        <a:p>
          <a:pPr algn="l" rtl="1">
            <a:defRPr sz="1000"/>
          </a:pPr>
          <a:r>
            <a:rPr lang="en-JM" sz="1000" b="0" i="1" strike="noStrike">
              <a:solidFill>
                <a:srgbClr val="000000"/>
              </a:solidFill>
              <a:latin typeface="+mn-lt"/>
            </a:rPr>
            <a:t>Business Solutions Division</a:t>
          </a:r>
        </a:p>
        <a:p>
          <a:pPr algn="l" rtl="1">
            <a:defRPr sz="1000"/>
          </a:pPr>
          <a:r>
            <a:rPr lang="en-JM" sz="1000" b="0" i="1" strike="noStrike">
              <a:solidFill>
                <a:srgbClr val="000000"/>
              </a:solidFill>
              <a:latin typeface="+mn-lt"/>
            </a:rPr>
            <a:t>16 South Avenue Kingston 10</a:t>
          </a:r>
        </a:p>
        <a:p>
          <a:pPr algn="l" rtl="1">
            <a:defRPr sz="1000"/>
          </a:pPr>
          <a:endParaRPr lang="en-JM" sz="1000" b="0" i="1" strike="noStrike">
            <a:solidFill>
              <a:srgbClr val="000000"/>
            </a:solidFill>
            <a:latin typeface="+mn-lt"/>
          </a:endParaRPr>
        </a:p>
        <a:p>
          <a:pPr algn="l" rtl="1">
            <a:defRPr sz="1000"/>
          </a:pPr>
          <a:r>
            <a:rPr lang="en-JM" sz="1000" b="0" i="1" strike="noStrike">
              <a:solidFill>
                <a:srgbClr val="000000"/>
              </a:solidFill>
              <a:latin typeface="+mn-lt"/>
            </a:rPr>
            <a:t>Tel:906-1067-8 </a:t>
          </a:r>
        </a:p>
        <a:p>
          <a:pPr algn="l" rtl="1">
            <a:defRPr sz="1000"/>
          </a:pPr>
          <a:endParaRPr lang="en-JM" sz="1000" b="0" i="1" strike="noStrike">
            <a:solidFill>
              <a:srgbClr val="000000"/>
            </a:solidFill>
            <a:latin typeface="+mn-lt"/>
          </a:endParaRPr>
        </a:p>
        <a:p>
          <a:pPr algn="l" rtl="1">
            <a:defRPr sz="1000"/>
          </a:pPr>
          <a:r>
            <a:rPr lang="en-JM" sz="1000" b="0" i="1" strike="noStrike">
              <a:solidFill>
                <a:srgbClr val="000000"/>
              </a:solidFill>
              <a:latin typeface="+mn-lt"/>
            </a:rPr>
            <a:t>Email: kharding@royalecomputers.com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"/>
  <sheetViews>
    <sheetView showGridLines="0" tabSelected="1" zoomScale="110" zoomScaleNormal="110" zoomScaleSheetLayoutView="70" workbookViewId="0">
      <selection activeCell="G20" sqref="G20"/>
    </sheetView>
  </sheetViews>
  <sheetFormatPr defaultColWidth="9.140625" defaultRowHeight="15" x14ac:dyDescent="0.3"/>
  <cols>
    <col min="1" max="1" width="7.42578125" style="1" customWidth="1"/>
    <col min="2" max="2" width="32.7109375" style="1" customWidth="1"/>
    <col min="3" max="3" width="16.5703125" style="1" customWidth="1"/>
    <col min="4" max="4" width="20.85546875" style="1" customWidth="1"/>
    <col min="5" max="5" width="57" style="1" customWidth="1"/>
    <col min="6" max="6" width="18.140625" style="1" customWidth="1"/>
    <col min="7" max="7" width="22.140625" style="1" customWidth="1"/>
    <col min="8" max="16384" width="9.140625" style="1"/>
  </cols>
  <sheetData>
    <row r="1" spans="1:7" ht="42.75" customHeight="1" x14ac:dyDescent="0.3">
      <c r="C1"/>
      <c r="D1"/>
      <c r="E1"/>
      <c r="F1"/>
      <c r="G1"/>
    </row>
    <row r="2" spans="1:7" ht="42.75" customHeight="1" x14ac:dyDescent="0.3">
      <c r="C2"/>
      <c r="D2"/>
      <c r="E2"/>
      <c r="F2"/>
      <c r="G2"/>
    </row>
    <row r="3" spans="1:7" ht="42.75" customHeight="1" x14ac:dyDescent="0.3">
      <c r="C3"/>
      <c r="D3"/>
      <c r="E3"/>
      <c r="F3"/>
      <c r="G3"/>
    </row>
    <row r="4" spans="1:7" ht="16.5" customHeight="1" x14ac:dyDescent="0.3">
      <c r="A4" s="57"/>
      <c r="B4" s="57"/>
      <c r="C4" s="58"/>
      <c r="D4" s="56"/>
      <c r="E4" s="56"/>
      <c r="F4" s="56"/>
      <c r="G4" s="56"/>
    </row>
    <row r="5" spans="1:7" s="2" customFormat="1" ht="18.75" customHeight="1" x14ac:dyDescent="0.3">
      <c r="A5" s="9" t="s">
        <v>6</v>
      </c>
      <c r="B5" s="38" t="s">
        <v>18</v>
      </c>
      <c r="C5" s="38"/>
      <c r="D5" s="38"/>
      <c r="E5" s="30"/>
      <c r="F5" s="24" t="s">
        <v>16</v>
      </c>
      <c r="G5" s="39" t="s">
        <v>34</v>
      </c>
    </row>
    <row r="6" spans="1:7" s="2" customFormat="1" ht="15" customHeight="1" x14ac:dyDescent="0.3">
      <c r="A6" s="10"/>
      <c r="B6" s="60" t="s">
        <v>19</v>
      </c>
      <c r="C6" s="60"/>
      <c r="E6" s="30"/>
      <c r="F6" s="40" t="s">
        <v>9</v>
      </c>
      <c r="G6" s="45" t="s">
        <v>22</v>
      </c>
    </row>
    <row r="7" spans="1:7" s="2" customFormat="1" ht="17.25" customHeight="1" x14ac:dyDescent="0.3">
      <c r="A7" s="9"/>
      <c r="B7" s="61"/>
      <c r="C7" s="61"/>
      <c r="E7" s="59"/>
      <c r="F7" s="59"/>
      <c r="G7" s="59"/>
    </row>
    <row r="8" spans="1:7" s="2" customFormat="1" ht="15" customHeight="1" x14ac:dyDescent="0.3">
      <c r="C8" s="37"/>
      <c r="E8" s="36"/>
      <c r="F8" s="32"/>
      <c r="G8" s="32"/>
    </row>
    <row r="9" spans="1:7" s="2" customFormat="1" ht="15" customHeight="1" thickBot="1" x14ac:dyDescent="0.35">
      <c r="E9" s="11"/>
      <c r="F9" s="11"/>
      <c r="G9" s="11"/>
    </row>
    <row r="10" spans="1:7" ht="44.25" customHeight="1" x14ac:dyDescent="0.3">
      <c r="A10" s="47" t="s">
        <v>7</v>
      </c>
      <c r="B10" s="48"/>
      <c r="C10" s="49"/>
      <c r="D10" s="12" t="s">
        <v>3</v>
      </c>
      <c r="E10" s="47" t="s">
        <v>5</v>
      </c>
      <c r="F10" s="49"/>
      <c r="G10" s="44" t="s">
        <v>20</v>
      </c>
    </row>
    <row r="11" spans="1:7" s="34" customFormat="1" ht="67.349999999999994" customHeight="1" x14ac:dyDescent="0.3">
      <c r="A11" s="50" t="s">
        <v>11</v>
      </c>
      <c r="B11" s="50"/>
      <c r="C11" s="50"/>
      <c r="D11" s="33" t="s">
        <v>8</v>
      </c>
      <c r="E11" s="51"/>
      <c r="F11" s="51"/>
      <c r="G11" s="13" t="s">
        <v>21</v>
      </c>
    </row>
    <row r="12" spans="1:7" ht="15.95" customHeight="1" x14ac:dyDescent="0.3">
      <c r="A12" s="14" t="s">
        <v>10</v>
      </c>
      <c r="B12" s="14" t="s">
        <v>12</v>
      </c>
      <c r="C12" s="52" t="s">
        <v>0</v>
      </c>
      <c r="D12" s="52"/>
      <c r="E12" s="52"/>
      <c r="F12" s="14" t="s">
        <v>1</v>
      </c>
      <c r="G12" s="14" t="s">
        <v>2</v>
      </c>
    </row>
    <row r="13" spans="1:7" s="7" customFormat="1" ht="18.75" x14ac:dyDescent="0.3">
      <c r="A13" s="15">
        <v>1</v>
      </c>
      <c r="B13" s="16" t="s">
        <v>23</v>
      </c>
      <c r="C13" s="53" t="s">
        <v>24</v>
      </c>
      <c r="D13" s="54"/>
      <c r="E13" s="55"/>
      <c r="F13" s="17">
        <v>302016</v>
      </c>
      <c r="G13" s="18">
        <f>F13*A13</f>
        <v>302016</v>
      </c>
    </row>
    <row r="14" spans="1:7" s="7" customFormat="1" ht="18.75" x14ac:dyDescent="0.3">
      <c r="A14" s="15"/>
      <c r="B14" s="16"/>
      <c r="C14" s="53" t="s">
        <v>25</v>
      </c>
      <c r="D14" s="54"/>
      <c r="E14" s="55"/>
      <c r="F14" s="17"/>
      <c r="G14" s="18"/>
    </row>
    <row r="15" spans="1:7" s="7" customFormat="1" ht="18.75" x14ac:dyDescent="0.3">
      <c r="A15" s="15"/>
      <c r="B15" s="16"/>
      <c r="C15" s="53" t="s">
        <v>26</v>
      </c>
      <c r="D15" s="54"/>
      <c r="E15" s="55"/>
      <c r="F15" s="17"/>
      <c r="G15" s="18"/>
    </row>
    <row r="16" spans="1:7" s="7" customFormat="1" ht="18.75" x14ac:dyDescent="0.25">
      <c r="A16" s="19"/>
      <c r="B16" s="20"/>
      <c r="C16" s="53" t="s">
        <v>27</v>
      </c>
      <c r="D16" s="54"/>
      <c r="E16" s="55"/>
      <c r="F16" s="21"/>
      <c r="G16" s="22"/>
    </row>
    <row r="17" spans="1:15" s="7" customFormat="1" ht="18.75" x14ac:dyDescent="0.25">
      <c r="A17" s="19"/>
      <c r="B17" s="20"/>
      <c r="C17" s="53" t="s">
        <v>28</v>
      </c>
      <c r="D17" s="54"/>
      <c r="E17" s="55"/>
      <c r="F17" s="21"/>
      <c r="G17" s="22"/>
    </row>
    <row r="18" spans="1:15" s="7" customFormat="1" ht="18.75" x14ac:dyDescent="0.25">
      <c r="A18" s="19"/>
      <c r="B18" s="20"/>
      <c r="C18" s="53" t="s">
        <v>29</v>
      </c>
      <c r="D18" s="54"/>
      <c r="E18" s="55"/>
      <c r="F18" s="21"/>
      <c r="G18" s="22"/>
    </row>
    <row r="19" spans="1:15" s="7" customFormat="1" ht="18.75" x14ac:dyDescent="0.25">
      <c r="A19" s="19"/>
      <c r="B19" s="20"/>
      <c r="C19" s="41"/>
      <c r="D19" s="42"/>
      <c r="E19" s="43"/>
      <c r="F19" s="21"/>
      <c r="G19" s="22"/>
    </row>
    <row r="20" spans="1:15" s="7" customFormat="1" ht="47.25" customHeight="1" x14ac:dyDescent="0.25">
      <c r="A20" s="19">
        <v>1</v>
      </c>
      <c r="B20" s="20" t="s">
        <v>30</v>
      </c>
      <c r="C20" s="53" t="s">
        <v>31</v>
      </c>
      <c r="D20" s="54"/>
      <c r="E20" s="55"/>
      <c r="F20" s="21">
        <v>6504.96</v>
      </c>
      <c r="G20" s="22">
        <f>F20*A20</f>
        <v>6504.96</v>
      </c>
    </row>
    <row r="21" spans="1:15" s="7" customFormat="1" ht="18.75" x14ac:dyDescent="0.25">
      <c r="A21" s="19"/>
      <c r="B21" s="20"/>
      <c r="C21" s="53"/>
      <c r="D21" s="54"/>
      <c r="E21" s="55"/>
      <c r="F21" s="21"/>
      <c r="G21" s="22"/>
    </row>
    <row r="22" spans="1:15" s="7" customFormat="1" ht="18.75" x14ac:dyDescent="0.25">
      <c r="A22" s="19">
        <v>1</v>
      </c>
      <c r="B22" s="20" t="s">
        <v>32</v>
      </c>
      <c r="C22" s="53" t="s">
        <v>33</v>
      </c>
      <c r="D22" s="54"/>
      <c r="E22" s="55"/>
      <c r="F22" s="21">
        <v>1000</v>
      </c>
      <c r="G22" s="22">
        <f>F22*A22</f>
        <v>1000</v>
      </c>
    </row>
    <row r="23" spans="1:15" s="7" customFormat="1" ht="18.75" x14ac:dyDescent="0.25">
      <c r="A23" s="19"/>
      <c r="B23" s="20"/>
      <c r="C23" s="53"/>
      <c r="D23" s="54"/>
      <c r="E23" s="55"/>
      <c r="F23" s="21"/>
      <c r="G23" s="22"/>
    </row>
    <row r="24" spans="1:15" s="7" customFormat="1" ht="18.75" x14ac:dyDescent="0.25">
      <c r="A24" s="19"/>
      <c r="B24" s="20"/>
      <c r="C24" s="41"/>
      <c r="D24" s="42"/>
      <c r="E24" s="43"/>
      <c r="F24" s="21"/>
      <c r="G24" s="22"/>
    </row>
    <row r="25" spans="1:15" s="7" customFormat="1" ht="21.75" customHeight="1" x14ac:dyDescent="0.25">
      <c r="A25" s="23"/>
      <c r="B25" s="23"/>
      <c r="C25" s="64"/>
      <c r="D25" s="64"/>
      <c r="E25" s="64"/>
      <c r="F25" s="21"/>
      <c r="G25" s="22"/>
      <c r="L25" s="63"/>
      <c r="M25" s="62"/>
      <c r="N25" s="62"/>
      <c r="O25" s="62"/>
    </row>
    <row r="26" spans="1:15" s="7" customFormat="1" ht="18.75" customHeight="1" x14ac:dyDescent="0.3">
      <c r="A26" s="46" t="s">
        <v>13</v>
      </c>
      <c r="B26" s="46"/>
      <c r="C26" s="65" t="s">
        <v>17</v>
      </c>
      <c r="D26" s="65"/>
      <c r="E26" s="65"/>
      <c r="F26" s="24" t="s">
        <v>15</v>
      </c>
      <c r="G26" s="25">
        <f>SUM(G13:G24)</f>
        <v>309520.96000000002</v>
      </c>
      <c r="L26" s="63"/>
      <c r="M26" s="62"/>
      <c r="N26" s="62"/>
      <c r="O26" s="62"/>
    </row>
    <row r="27" spans="1:15" s="7" customFormat="1" ht="18.75" x14ac:dyDescent="0.3">
      <c r="A27" s="26"/>
      <c r="B27" s="27"/>
      <c r="C27" s="66"/>
      <c r="D27" s="66"/>
      <c r="E27" s="66"/>
      <c r="F27" s="28" t="s">
        <v>4</v>
      </c>
      <c r="G27" s="29">
        <f>SUM(G26*15%)</f>
        <v>46428.144</v>
      </c>
      <c r="L27" s="63"/>
      <c r="M27" s="62"/>
      <c r="N27" s="62"/>
      <c r="O27" s="62"/>
    </row>
    <row r="28" spans="1:15" s="7" customFormat="1" ht="18.75" x14ac:dyDescent="0.3">
      <c r="A28" s="26"/>
      <c r="B28" s="27"/>
      <c r="C28" s="66"/>
      <c r="D28" s="66"/>
      <c r="E28" s="66"/>
      <c r="F28" s="24" t="s">
        <v>14</v>
      </c>
      <c r="G28" s="35">
        <f>SUM(G26:G27)</f>
        <v>355949.10400000005</v>
      </c>
      <c r="L28" s="63"/>
      <c r="M28" s="62"/>
      <c r="N28" s="62"/>
      <c r="O28" s="62"/>
    </row>
    <row r="29" spans="1:15" s="7" customFormat="1" ht="17.45" customHeight="1" x14ac:dyDescent="0.3">
      <c r="A29" s="26"/>
      <c r="B29" s="27"/>
      <c r="C29" s="66"/>
      <c r="D29" s="66"/>
      <c r="E29" s="66"/>
      <c r="F29" s="24"/>
      <c r="G29" s="30"/>
    </row>
    <row r="30" spans="1:15" s="7" customFormat="1" ht="73.5" customHeight="1" x14ac:dyDescent="0.3">
      <c r="A30" s="26"/>
      <c r="B30" s="27"/>
      <c r="C30" s="66"/>
      <c r="D30" s="66"/>
      <c r="E30" s="66"/>
      <c r="F30" s="31"/>
      <c r="G30" s="30"/>
    </row>
    <row r="31" spans="1:15" s="7" customFormat="1" ht="15" customHeight="1" x14ac:dyDescent="0.25">
      <c r="A31" s="8"/>
      <c r="B31" s="8"/>
      <c r="C31" s="66"/>
      <c r="D31" s="66"/>
      <c r="E31" s="66"/>
    </row>
    <row r="32" spans="1:15" s="7" customFormat="1" ht="15.75" x14ac:dyDescent="0.25">
      <c r="A32" s="8"/>
      <c r="B32" s="8"/>
      <c r="C32" s="66"/>
      <c r="D32" s="66"/>
      <c r="E32" s="66"/>
    </row>
    <row r="33" spans="1:6" x14ac:dyDescent="0.3">
      <c r="A33" s="6"/>
      <c r="B33" s="6"/>
      <c r="C33" s="66"/>
      <c r="D33" s="66"/>
      <c r="E33" s="66"/>
    </row>
    <row r="34" spans="1:6" x14ac:dyDescent="0.3">
      <c r="A34" s="6"/>
      <c r="B34" s="6"/>
      <c r="C34" s="66"/>
      <c r="D34" s="66"/>
      <c r="E34" s="66"/>
    </row>
    <row r="35" spans="1:6" x14ac:dyDescent="0.3">
      <c r="A35" s="6"/>
      <c r="B35" s="6"/>
      <c r="C35" s="66"/>
      <c r="D35" s="66"/>
      <c r="E35" s="66"/>
    </row>
    <row r="36" spans="1:6" x14ac:dyDescent="0.3">
      <c r="A36" s="6"/>
      <c r="B36" s="6"/>
      <c r="C36" s="66"/>
      <c r="D36" s="66"/>
      <c r="E36" s="66"/>
    </row>
    <row r="37" spans="1:6" ht="15" customHeight="1" x14ac:dyDescent="0.3">
      <c r="A37" s="6"/>
      <c r="B37" s="6"/>
      <c r="C37" s="66"/>
      <c r="D37" s="66"/>
      <c r="E37" s="66"/>
    </row>
    <row r="38" spans="1:6" ht="15" customHeight="1" x14ac:dyDescent="0.3">
      <c r="A38" s="6"/>
      <c r="B38" s="6"/>
      <c r="C38" s="66"/>
      <c r="D38" s="66"/>
      <c r="E38" s="66"/>
    </row>
    <row r="39" spans="1:6" ht="15" customHeight="1" x14ac:dyDescent="0.3">
      <c r="A39" s="6"/>
      <c r="B39" s="6"/>
      <c r="C39" s="66"/>
      <c r="D39" s="66"/>
      <c r="E39" s="66"/>
    </row>
    <row r="40" spans="1:6" ht="15" customHeight="1" x14ac:dyDescent="0.3">
      <c r="A40" s="6"/>
      <c r="B40" s="6"/>
      <c r="C40" s="66"/>
      <c r="D40" s="66"/>
      <c r="E40" s="66"/>
    </row>
    <row r="41" spans="1:6" ht="15" customHeight="1" x14ac:dyDescent="0.3">
      <c r="A41" s="6"/>
      <c r="B41" s="6"/>
      <c r="C41" s="66"/>
      <c r="D41" s="66"/>
      <c r="E41" s="66"/>
    </row>
    <row r="42" spans="1:6" ht="15" customHeight="1" x14ac:dyDescent="0.3">
      <c r="A42" s="6"/>
      <c r="B42" s="6"/>
      <c r="C42" s="66"/>
      <c r="D42" s="66"/>
      <c r="E42" s="66"/>
    </row>
    <row r="43" spans="1:6" ht="15" customHeight="1" x14ac:dyDescent="0.3">
      <c r="A43" s="6"/>
      <c r="B43" s="6"/>
      <c r="C43" s="6"/>
      <c r="D43" s="6"/>
      <c r="E43" s="6"/>
    </row>
    <row r="44" spans="1:6" ht="15.75" customHeight="1" x14ac:dyDescent="0.3">
      <c r="A44" s="6"/>
      <c r="B44" s="6"/>
      <c r="C44" s="6"/>
      <c r="D44" s="6"/>
      <c r="E44" s="6"/>
      <c r="F44" s="6"/>
    </row>
    <row r="45" spans="1:6" ht="18.75" customHeight="1" x14ac:dyDescent="0.3">
      <c r="A45" s="6"/>
      <c r="B45" s="6"/>
      <c r="C45" s="6"/>
      <c r="D45" s="6"/>
      <c r="E45" s="6"/>
      <c r="F45" s="6"/>
    </row>
    <row r="46" spans="1:6" ht="15" customHeight="1" x14ac:dyDescent="0.3">
      <c r="A46" s="6"/>
      <c r="B46" s="6"/>
      <c r="C46" s="6"/>
      <c r="D46" s="6"/>
      <c r="E46" s="6"/>
    </row>
    <row r="47" spans="1:6" ht="15" customHeight="1" x14ac:dyDescent="0.3">
      <c r="A47" s="6"/>
      <c r="B47" s="6"/>
      <c r="C47" s="6"/>
      <c r="D47" s="6"/>
      <c r="E47" s="6"/>
    </row>
    <row r="48" spans="1:6" ht="15.75" customHeight="1" x14ac:dyDescent="0.3">
      <c r="A48" s="6"/>
      <c r="B48" s="6"/>
      <c r="C48" s="6"/>
      <c r="D48" s="6"/>
      <c r="E48" s="6"/>
    </row>
    <row r="49" spans="1:7" ht="15" customHeight="1" x14ac:dyDescent="0.3">
      <c r="A49" s="6"/>
      <c r="B49" s="6"/>
      <c r="C49" s="6"/>
      <c r="D49" s="6"/>
      <c r="E49" s="6"/>
      <c r="F49" s="4"/>
      <c r="G49" s="3"/>
    </row>
    <row r="50" spans="1:7" ht="15" customHeight="1" x14ac:dyDescent="0.3">
      <c r="A50" s="6"/>
      <c r="B50" s="6"/>
      <c r="C50" s="6"/>
      <c r="D50" s="6"/>
      <c r="E50" s="6"/>
      <c r="F50" s="4"/>
      <c r="G50" s="3"/>
    </row>
    <row r="51" spans="1:7" ht="15" customHeight="1" x14ac:dyDescent="0.3">
      <c r="A51" s="6"/>
      <c r="B51" s="6"/>
      <c r="C51" s="6"/>
      <c r="D51" s="6"/>
      <c r="E51" s="6"/>
    </row>
    <row r="52" spans="1:7" ht="15" customHeight="1" x14ac:dyDescent="0.3">
      <c r="A52" s="6"/>
      <c r="B52" s="6"/>
      <c r="C52" s="6"/>
      <c r="D52" s="6"/>
      <c r="E52" s="6"/>
    </row>
    <row r="53" spans="1:7" ht="15" customHeight="1" x14ac:dyDescent="0.3">
      <c r="A53" s="6"/>
      <c r="B53" s="6"/>
      <c r="C53" s="6"/>
      <c r="D53" s="6"/>
      <c r="E53" s="6"/>
    </row>
    <row r="54" spans="1:7" ht="15" customHeight="1" x14ac:dyDescent="0.3">
      <c r="A54" s="6"/>
      <c r="B54" s="6"/>
      <c r="C54" s="6"/>
      <c r="D54" s="6"/>
      <c r="E54" s="6"/>
      <c r="G54" s="5"/>
    </row>
    <row r="55" spans="1:7" ht="15" customHeight="1" x14ac:dyDescent="0.3">
      <c r="A55" s="6"/>
      <c r="B55" s="6"/>
      <c r="C55" s="6"/>
      <c r="D55" s="6"/>
      <c r="E55" s="6"/>
    </row>
    <row r="56" spans="1:7" ht="15" customHeight="1" x14ac:dyDescent="0.3">
      <c r="A56" s="6"/>
      <c r="B56" s="6"/>
      <c r="C56" s="6"/>
      <c r="D56" s="6"/>
      <c r="E56" s="6"/>
    </row>
    <row r="57" spans="1:7" ht="15" customHeight="1" x14ac:dyDescent="0.3">
      <c r="A57" s="6"/>
      <c r="B57" s="6"/>
      <c r="C57" s="6"/>
      <c r="D57" s="6"/>
      <c r="E57" s="6"/>
    </row>
    <row r="58" spans="1:7" ht="15" customHeight="1" x14ac:dyDescent="0.3">
      <c r="A58" s="6"/>
      <c r="B58" s="6"/>
      <c r="C58" s="6"/>
      <c r="D58" s="6"/>
      <c r="E58" s="6"/>
      <c r="F58" s="6"/>
    </row>
    <row r="59" spans="1:7" ht="15" customHeight="1" x14ac:dyDescent="0.3">
      <c r="A59" s="6"/>
      <c r="B59" s="6"/>
      <c r="C59" s="6"/>
      <c r="D59" s="6"/>
      <c r="E59" s="6"/>
    </row>
    <row r="60" spans="1:7" ht="15" customHeight="1" x14ac:dyDescent="0.3">
      <c r="A60" s="6"/>
      <c r="B60" s="6"/>
      <c r="C60" s="6"/>
      <c r="D60" s="6"/>
      <c r="E60" s="6"/>
    </row>
    <row r="61" spans="1:7" ht="18" customHeight="1" x14ac:dyDescent="0.3">
      <c r="A61" s="6"/>
      <c r="B61" s="6"/>
      <c r="C61" s="6"/>
      <c r="D61" s="6"/>
      <c r="E61" s="6"/>
      <c r="F61" s="6"/>
      <c r="G61" s="6"/>
    </row>
    <row r="62" spans="1:7" ht="15" customHeight="1" x14ac:dyDescent="0.3">
      <c r="A62" s="6"/>
      <c r="B62" s="6"/>
      <c r="C62" s="6"/>
      <c r="D62" s="6"/>
      <c r="E62" s="6"/>
    </row>
    <row r="63" spans="1:7" ht="15" customHeight="1" x14ac:dyDescent="0.3">
      <c r="A63" s="6"/>
      <c r="B63" s="6"/>
      <c r="C63" s="6"/>
      <c r="D63" s="6"/>
      <c r="E63" s="6"/>
    </row>
    <row r="64" spans="1:7" ht="15" customHeight="1" x14ac:dyDescent="0.3">
      <c r="A64" s="6"/>
      <c r="B64" s="6"/>
      <c r="C64" s="6"/>
      <c r="D64" s="6"/>
      <c r="E64" s="6"/>
    </row>
    <row r="65" spans="1:7" ht="15" customHeight="1" x14ac:dyDescent="0.3">
      <c r="A65" s="6"/>
      <c r="B65" s="6"/>
      <c r="C65" s="6"/>
      <c r="D65" s="6"/>
      <c r="E65" s="6"/>
    </row>
    <row r="66" spans="1:7" x14ac:dyDescent="0.3">
      <c r="A66" s="6"/>
      <c r="B66" s="6"/>
      <c r="C66" s="6"/>
      <c r="D66" s="6"/>
      <c r="E66" s="6"/>
    </row>
    <row r="67" spans="1:7" ht="15" customHeight="1" x14ac:dyDescent="0.3">
      <c r="A67" s="6"/>
      <c r="B67" s="6"/>
      <c r="C67" s="6"/>
      <c r="D67" s="6"/>
      <c r="E67" s="6"/>
    </row>
    <row r="68" spans="1:7" ht="15" customHeight="1" x14ac:dyDescent="0.3">
      <c r="A68" s="6"/>
      <c r="B68" s="6"/>
      <c r="C68" s="6"/>
      <c r="D68" s="6"/>
      <c r="E68" s="6"/>
    </row>
    <row r="69" spans="1:7" ht="14.25" customHeight="1" x14ac:dyDescent="0.3">
      <c r="A69" s="6"/>
      <c r="B69" s="6"/>
      <c r="C69" s="6"/>
      <c r="D69" s="6"/>
      <c r="E69" s="6"/>
      <c r="F69" s="6"/>
      <c r="G69" s="6"/>
    </row>
    <row r="70" spans="1:7" ht="15" customHeight="1" x14ac:dyDescent="0.3">
      <c r="A70" s="6"/>
      <c r="B70" s="6"/>
      <c r="C70" s="6"/>
      <c r="D70" s="6"/>
      <c r="E70" s="6"/>
    </row>
    <row r="71" spans="1:7" ht="15" customHeight="1" x14ac:dyDescent="0.3">
      <c r="A71" s="6"/>
      <c r="B71" s="6"/>
      <c r="C71" s="6"/>
      <c r="D71" s="6"/>
      <c r="E71" s="6"/>
    </row>
    <row r="72" spans="1:7" ht="15" customHeight="1" x14ac:dyDescent="0.3">
      <c r="A72" s="6"/>
      <c r="B72" s="6"/>
      <c r="C72" s="6"/>
      <c r="D72" s="6"/>
      <c r="E72" s="6"/>
    </row>
    <row r="73" spans="1:7" ht="15" customHeight="1" x14ac:dyDescent="0.3">
      <c r="A73" s="6"/>
      <c r="B73" s="6"/>
      <c r="C73" s="6"/>
      <c r="D73" s="6"/>
      <c r="E73" s="6"/>
    </row>
    <row r="74" spans="1:7" ht="15" customHeight="1" x14ac:dyDescent="0.3">
      <c r="A74" s="6"/>
      <c r="B74" s="6"/>
      <c r="C74" s="6"/>
      <c r="D74" s="6"/>
      <c r="E74" s="6"/>
    </row>
    <row r="75" spans="1:7" ht="15" customHeight="1" x14ac:dyDescent="0.3">
      <c r="A75" s="6"/>
      <c r="B75" s="6"/>
      <c r="C75" s="6"/>
      <c r="D75" s="6"/>
      <c r="E75" s="6"/>
    </row>
    <row r="76" spans="1:7" ht="15" customHeight="1" x14ac:dyDescent="0.3">
      <c r="A76" s="6"/>
      <c r="B76" s="6"/>
      <c r="C76" s="6"/>
      <c r="D76" s="6"/>
      <c r="E76" s="6"/>
    </row>
    <row r="77" spans="1:7" ht="14.25" customHeight="1" x14ac:dyDescent="0.3">
      <c r="A77" s="6"/>
      <c r="B77" s="6"/>
      <c r="C77" s="6"/>
      <c r="D77" s="6"/>
      <c r="E77" s="6"/>
    </row>
    <row r="78" spans="1:7" ht="15" customHeight="1" x14ac:dyDescent="0.3">
      <c r="A78" s="6"/>
      <c r="B78" s="6"/>
      <c r="C78" s="6"/>
      <c r="D78" s="6"/>
      <c r="E78" s="6"/>
    </row>
    <row r="79" spans="1:7" ht="16.5" customHeight="1" x14ac:dyDescent="0.3">
      <c r="A79" s="6"/>
      <c r="B79" s="6"/>
      <c r="C79" s="6"/>
      <c r="D79" s="6"/>
      <c r="E79" s="6"/>
      <c r="F79" s="6"/>
      <c r="G79" s="6"/>
    </row>
    <row r="80" spans="1:7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.75" customHeight="1" x14ac:dyDescent="0.3"/>
    <row r="87" ht="15" customHeight="1" x14ac:dyDescent="0.3"/>
  </sheetData>
  <sheetProtection algorithmName="SHA-512" hashValue="N9aJ+Z+jLFB3amw4RIbI8kgTVH7bcMIFASgV5BWLaN/c/CWCXsOdYGCU86I92SGzVj/ipq1FOlFuOCdMP+u26A==" saltValue="Ax/KRzvfPxP33xBrUDOrJQ==" spinCount="100000" sheet="1" objects="1" scenarios="1"/>
  <mergeCells count="25">
    <mergeCell ref="M25:O28"/>
    <mergeCell ref="L25:L28"/>
    <mergeCell ref="C25:E25"/>
    <mergeCell ref="C13:E13"/>
    <mergeCell ref="C26:E42"/>
    <mergeCell ref="C16:E16"/>
    <mergeCell ref="C17:E17"/>
    <mergeCell ref="C18:E18"/>
    <mergeCell ref="D4:G4"/>
    <mergeCell ref="A4:C4"/>
    <mergeCell ref="E7:G7"/>
    <mergeCell ref="B6:C6"/>
    <mergeCell ref="B7:C7"/>
    <mergeCell ref="A26:B26"/>
    <mergeCell ref="A10:C10"/>
    <mergeCell ref="A11:C11"/>
    <mergeCell ref="E10:F10"/>
    <mergeCell ref="E11:F11"/>
    <mergeCell ref="C12:E12"/>
    <mergeCell ref="C20:E20"/>
    <mergeCell ref="C21:E21"/>
    <mergeCell ref="C22:E22"/>
    <mergeCell ref="C23:E23"/>
    <mergeCell ref="C14:E14"/>
    <mergeCell ref="C15:E15"/>
  </mergeCells>
  <phoneticPr fontId="1" type="noConversion"/>
  <printOptions horizontalCentered="1"/>
  <pageMargins left="0.55118110236220474" right="0.59055118110236227" top="0.51181102362204722" bottom="0.51181102362204722" header="0.51181102362204722" footer="0.51181102362204722"/>
  <pageSetup scale="5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26E94FFD387F47BF55DF7EACFE71E1" ma:contentTypeVersion="13" ma:contentTypeDescription="Create a new document." ma:contentTypeScope="" ma:versionID="b6fbd6807eb59482a905b76fce91f1fe">
  <xsd:schema xmlns:xsd="http://www.w3.org/2001/XMLSchema" xmlns:xs="http://www.w3.org/2001/XMLSchema" xmlns:p="http://schemas.microsoft.com/office/2006/metadata/properties" xmlns:ns3="77da1c8e-60cc-47ae-9aa8-5814a517800b" xmlns:ns4="30e6fa78-6f9e-40cf-b9f8-bf6dca708676" targetNamespace="http://schemas.microsoft.com/office/2006/metadata/properties" ma:root="true" ma:fieldsID="52d93180532ab954434922e790b2159c" ns3:_="" ns4:_="">
    <xsd:import namespace="77da1c8e-60cc-47ae-9aa8-5814a517800b"/>
    <xsd:import namespace="30e6fa78-6f9e-40cf-b9f8-bf6dca7086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da1c8e-60cc-47ae-9aa8-5814a517800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6fa78-6f9e-40cf-b9f8-bf6dca708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4EAE92-CD2E-4E7F-A842-88A7524638CC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77da1c8e-60cc-47ae-9aa8-5814a517800b"/>
    <ds:schemaRef ds:uri="http://schemas.microsoft.com/office/infopath/2007/PartnerControls"/>
    <ds:schemaRef ds:uri="http://purl.org/dc/terms/"/>
    <ds:schemaRef ds:uri="30e6fa78-6f9e-40cf-b9f8-bf6dca70867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455420-2E9B-4E2A-80CA-6C1AAD5153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da1c8e-60cc-47ae-9aa8-5814a517800b"/>
    <ds:schemaRef ds:uri="30e6fa78-6f9e-40cf-b9f8-bf6dca7086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C14988-6108-4D88-A18B-818C3D0245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Pro-forma invoice</vt:lpstr>
      <vt:lpstr>'Pro-forma invoice'!Print_Area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KAYDIAN</dc:creator>
  <cp:lastModifiedBy>Shaquille Murray</cp:lastModifiedBy>
  <cp:lastPrinted>2023-10-02T15:01:46Z</cp:lastPrinted>
  <dcterms:created xsi:type="dcterms:W3CDTF">2006-01-23T19:37:33Z</dcterms:created>
  <dcterms:modified xsi:type="dcterms:W3CDTF">2026-03-17T20:46:02Z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TC101514041033</vt:lpwstr>
  </property>
  <property fmtid="{D5CDD505-2E9C-101B-9397-08002B2CF9AE}" pid="3" name="ContentTypeId">
    <vt:lpwstr>0x0101005E26E94FFD387F47BF55DF7EACFE71E1</vt:lpwstr>
  </property>
</Properties>
</file>