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rcjamaica-my.sharepoint.com/personal/shaquille_murray_royalecomputers_com/Documents/Documents/QUOTES/MINISTRY OF HEALTH &amp; WELLNESS/GOVERNMENT CHEMIST DEPARTMENT/2026/"/>
    </mc:Choice>
  </mc:AlternateContent>
  <xr:revisionPtr revIDLastSave="832" documentId="13_ncr:1_{983B6D3D-EC01-460F-A4D7-4C048897EF48}" xr6:coauthVersionLast="47" xr6:coauthVersionMax="47" xr10:uidLastSave="{974796BB-AB3D-4E7E-BAC4-209DCD567EE4}"/>
  <bookViews>
    <workbookView xWindow="-120" yWindow="-120" windowWidth="29040" windowHeight="15840" xr2:uid="{00000000-000D-0000-FFFF-FFFF00000000}"/>
  </bookViews>
  <sheets>
    <sheet name="Pro-forma invoice" sheetId="1" r:id="rId1"/>
  </sheets>
  <definedNames>
    <definedName name="_xlnm.Print_Area" localSheetId="0">'Pro-forma invoice'!$A$1:$G$24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1" l="1"/>
  <c r="G13" i="1" l="1"/>
  <c r="G19" i="1" s="1"/>
  <c r="G20" i="1" l="1"/>
  <c r="G21" i="1" s="1"/>
</calcChain>
</file>

<file path=xl/sharedStrings.xml><?xml version="1.0" encoding="utf-8"?>
<sst xmlns="http://schemas.openxmlformats.org/spreadsheetml/2006/main" count="28" uniqueCount="28">
  <si>
    <t>DESCRIPTION</t>
  </si>
  <si>
    <t>UNIT PRICE</t>
  </si>
  <si>
    <t>LINE TOTAL</t>
  </si>
  <si>
    <t>JOB</t>
  </si>
  <si>
    <t>SALES TAX</t>
  </si>
  <si>
    <t>PAYMENT TERMS</t>
  </si>
  <si>
    <t>TO:</t>
  </si>
  <si>
    <t>ACCOUNT EXECUTIVE</t>
  </si>
  <si>
    <t>QUOTE</t>
  </si>
  <si>
    <t>DATE:</t>
  </si>
  <si>
    <t>QTY</t>
  </si>
  <si>
    <t xml:space="preserve">KINGSLEY HARDING </t>
  </si>
  <si>
    <t>MFR#</t>
  </si>
  <si>
    <t>Terms &amp; Conditions</t>
  </si>
  <si>
    <r>
      <t xml:space="preserve">TOTAL </t>
    </r>
    <r>
      <rPr>
        <b/>
        <sz val="14"/>
        <color rgb="FFFF0000"/>
        <rFont val="Calibri"/>
        <family val="2"/>
        <scheme val="minor"/>
      </rPr>
      <t xml:space="preserve"> </t>
    </r>
  </si>
  <si>
    <t>SUB-TOTAL</t>
  </si>
  <si>
    <t>Proforma Invoice#:</t>
  </si>
  <si>
    <t>MINISTRY OF HEALTH &amp; WELLNESS - DEPARTMENT OF GOVERNMENT CHEMIST</t>
  </si>
  <si>
    <t>Gabrielle Green</t>
  </si>
  <si>
    <t>DELIVERY TIMELINE</t>
  </si>
  <si>
    <t>DELIVERY</t>
  </si>
  <si>
    <t>Delivery Charge</t>
  </si>
  <si>
    <t>3 - 4 Weeks After The Receipt Of The PO</t>
  </si>
  <si>
    <r>
      <t xml:space="preserve">1.  Royale Computers &amp; Accessories Ltd intends to maintain firm pricing subject to material changes in market conditions beyond our control including significant increases in components, tariffs, fuel or supply chain costs due to unstable global conditions.
2. Payment terms are as per agreement with Royale Computers &amp; Accessories Ltd.
3. Prices quoted in </t>
    </r>
    <r>
      <rPr>
        <b/>
        <sz val="14"/>
        <color rgb="FFFF0000"/>
        <rFont val="Calibri"/>
        <family val="2"/>
        <scheme val="minor"/>
      </rPr>
      <t xml:space="preserve">JMD
</t>
    </r>
    <r>
      <rPr>
        <b/>
        <sz val="14"/>
        <rFont val="Calibri"/>
        <family val="2"/>
        <scheme val="minor"/>
      </rPr>
      <t xml:space="preserve">4. </t>
    </r>
    <r>
      <rPr>
        <b/>
        <sz val="14"/>
        <color theme="1"/>
        <rFont val="Calibri"/>
        <family val="2"/>
        <scheme val="minor"/>
      </rPr>
      <t xml:space="preserve">Quotation </t>
    </r>
    <r>
      <rPr>
        <b/>
        <sz val="14"/>
        <color rgb="FFFF0000"/>
        <rFont val="Calibri"/>
        <family val="2"/>
        <scheme val="minor"/>
      </rPr>
      <t>valid until 14 days</t>
    </r>
    <r>
      <rPr>
        <b/>
        <sz val="14"/>
        <color theme="1"/>
        <rFont val="Calibri"/>
        <family val="2"/>
        <scheme val="minor"/>
      </rPr>
      <t>. 
5. Prices are based on requested quantities and are subject to change without notice.</t>
    </r>
    <r>
      <rPr>
        <b/>
        <sz val="14"/>
        <rFont val="Calibri"/>
        <family val="2"/>
        <scheme val="minor"/>
      </rPr>
      <t xml:space="preserve">                                                                                                                                 6.No cash refund.                                                                                                                 7.Original invoice &amp; packaging needed for return &amp; exchanges.                                                                    8. Items with physical damages or with the warranty seal broken will not be returned.                                                                                                                                        9.  20% restocking fee on returns.                                                                                               10. All ETA dates commence on receival of purchase order(s). </t>
    </r>
  </si>
  <si>
    <t>MAY- 4-2026</t>
  </si>
  <si>
    <t>040526</t>
  </si>
  <si>
    <t>400-BRCT</t>
  </si>
  <si>
    <t>Dell 2TB 7.2K RPM SATA 6Gbps 512n 3.5in Hard 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</si>
</sst>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_(&quot;$&quot;* #,##0.00_);_(&quot;$&quot;* \(#,##0.00\);_(&quot;$&quot;* &quot;-&quot;??_);_(@_)"/>
    <numFmt numFmtId="165" formatCode="[$-409]mmmm\ d\,\ yyyy;@"/>
    <numFmt numFmtId="166" formatCode="m/d/yy;@"/>
    <numFmt numFmtId="167" formatCode="_-[$$-2409]* #,##0.00_-;\-[$$-2409]* #,##0.00_-;_-[$$-2409]* &quot;-&quot;??_-;_-@_-"/>
  </numFmts>
  <fonts count="24" x14ac:knownFonts="1">
    <font>
      <sz val="10"/>
      <name val="Arial"/>
    </font>
    <font>
      <sz val="8"/>
      <name val="Arial"/>
      <family val="2"/>
    </font>
    <font>
      <sz val="10"/>
      <name val="Trebuchet MS"/>
      <family val="2"/>
    </font>
    <font>
      <b/>
      <sz val="10"/>
      <name val="Trebuchet MS"/>
      <family val="2"/>
    </font>
    <font>
      <b/>
      <sz val="11"/>
      <name val="Trebuchet MS"/>
      <family val="2"/>
    </font>
    <font>
      <sz val="11"/>
      <name val="Arial"/>
      <family val="2"/>
    </font>
    <font>
      <sz val="8"/>
      <name val="Trebuchet MS"/>
      <family val="2"/>
    </font>
    <font>
      <sz val="9"/>
      <color rgb="FF000000"/>
      <name val="Arial"/>
      <family val="2"/>
    </font>
    <font>
      <sz val="10"/>
      <name val="Arial"/>
      <family val="2"/>
    </font>
    <font>
      <sz val="10"/>
      <name val="Arial"/>
      <family val="2"/>
    </font>
    <font>
      <sz val="12"/>
      <name val="Calibri"/>
      <family val="2"/>
      <scheme val="minor"/>
    </font>
    <font>
      <b/>
      <sz val="12"/>
      <name val="Calibri"/>
      <family val="2"/>
      <scheme val="minor"/>
    </font>
    <font>
      <sz val="12"/>
      <color rgb="FF000000"/>
      <name val="Calibri"/>
      <family val="2"/>
      <scheme val="minor"/>
    </font>
    <font>
      <sz val="11"/>
      <name val="Trebuchet MS"/>
      <family val="2"/>
    </font>
    <font>
      <b/>
      <sz val="14"/>
      <name val="Trebuchet MS"/>
      <family val="2"/>
    </font>
    <font>
      <b/>
      <sz val="14"/>
      <color rgb="FFFF0000"/>
      <name val="Calibri"/>
      <family val="2"/>
      <scheme val="minor"/>
    </font>
    <font>
      <sz val="14"/>
      <name val="Calibri"/>
      <family val="2"/>
      <scheme val="minor"/>
    </font>
    <font>
      <b/>
      <sz val="14"/>
      <name val="Calibri"/>
      <family val="2"/>
      <scheme val="minor"/>
    </font>
    <font>
      <b/>
      <sz val="14"/>
      <color theme="1"/>
      <name val="Calibri"/>
      <family val="2"/>
      <scheme val="minor"/>
    </font>
    <font>
      <sz val="14"/>
      <color rgb="FF000000"/>
      <name val="Calibri"/>
      <family val="2"/>
      <scheme val="minor"/>
    </font>
    <font>
      <b/>
      <sz val="14"/>
      <color rgb="FFFF0000"/>
      <name val="Trebuchet MS"/>
      <family val="2"/>
    </font>
    <font>
      <b/>
      <sz val="10"/>
      <color rgb="FFFF0000"/>
      <name val="Trebuchet MS"/>
      <family val="2"/>
    </font>
    <font>
      <b/>
      <u/>
      <sz val="14"/>
      <name val="Trebuchet MS"/>
      <family val="2"/>
    </font>
    <font>
      <b/>
      <u/>
      <sz val="14"/>
      <name val="Calibri"/>
      <family val="2"/>
      <scheme val="minor"/>
    </font>
  </fonts>
  <fills count="8">
    <fill>
      <patternFill patternType="none"/>
    </fill>
    <fill>
      <patternFill patternType="gray125"/>
    </fill>
    <fill>
      <patternFill patternType="solid">
        <fgColor indexed="41"/>
        <bgColor indexed="64"/>
      </patternFill>
    </fill>
    <fill>
      <patternFill patternType="solid">
        <fgColor indexed="9"/>
        <bgColor indexed="64"/>
      </patternFill>
    </fill>
    <fill>
      <patternFill patternType="solid">
        <fgColor indexed="40"/>
        <bgColor indexed="64"/>
      </patternFill>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2"/>
      </left>
      <right/>
      <top style="medium">
        <color indexed="62"/>
      </top>
      <bottom/>
      <diagonal/>
    </border>
    <border>
      <left/>
      <right style="thin">
        <color indexed="62"/>
      </right>
      <top style="medium">
        <color indexed="62"/>
      </top>
      <bottom/>
      <diagonal/>
    </border>
    <border>
      <left style="thin">
        <color indexed="62"/>
      </left>
      <right style="thin">
        <color indexed="62"/>
      </right>
      <top style="medium">
        <color indexed="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2"/>
      </top>
      <bottom/>
      <diagonal/>
    </border>
    <border>
      <left/>
      <right/>
      <top style="thin">
        <color indexed="64"/>
      </top>
      <bottom/>
      <diagonal/>
    </border>
  </borders>
  <cellStyleXfs count="3">
    <xf numFmtId="0" fontId="0" fillId="0" borderId="0"/>
    <xf numFmtId="0" fontId="8" fillId="0" borderId="0"/>
    <xf numFmtId="164" fontId="9" fillId="0" borderId="0" applyFont="0" applyFill="0" applyBorder="0" applyAlignment="0" applyProtection="0"/>
  </cellStyleXfs>
  <cellXfs count="67">
    <xf numFmtId="0" fontId="0" fillId="0" borderId="0" xfId="0"/>
    <xf numFmtId="0" fontId="2" fillId="0" borderId="0" xfId="0" applyFont="1"/>
    <xf numFmtId="0" fontId="6" fillId="0" borderId="0" xfId="0" applyFont="1"/>
    <xf numFmtId="0" fontId="2" fillId="0" borderId="0" xfId="0" applyFont="1" applyAlignment="1">
      <alignment horizontal="right"/>
    </xf>
    <xf numFmtId="15" fontId="2" fillId="0" borderId="0" xfId="0" applyNumberFormat="1" applyFont="1" applyAlignment="1">
      <alignment horizontal="center"/>
    </xf>
    <xf numFmtId="0" fontId="3" fillId="0" borderId="0" xfId="0" applyFont="1"/>
    <xf numFmtId="0" fontId="7" fillId="6" borderId="0" xfId="0" applyFont="1" applyFill="1" applyAlignment="1">
      <alignment vertical="center" wrapText="1"/>
    </xf>
    <xf numFmtId="0" fontId="10" fillId="0" borderId="0" xfId="0" applyFont="1"/>
    <xf numFmtId="0" fontId="12" fillId="6" borderId="0" xfId="0" applyFont="1" applyFill="1" applyAlignment="1">
      <alignment vertical="center" wrapText="1"/>
    </xf>
    <xf numFmtId="0" fontId="4" fillId="0" borderId="0" xfId="0" applyFont="1" applyAlignment="1">
      <alignment horizontal="left" wrapText="1" indent="1"/>
    </xf>
    <xf numFmtId="0" fontId="13" fillId="0" borderId="0" xfId="0" applyFont="1"/>
    <xf numFmtId="0" fontId="4" fillId="0" borderId="0" xfId="0" applyFont="1" applyAlignment="1">
      <alignment horizontal="center" wrapText="1"/>
    </xf>
    <xf numFmtId="0" fontId="14" fillId="2" borderId="4" xfId="0" applyFont="1" applyFill="1" applyBorder="1" applyAlignment="1">
      <alignment horizontal="center" vertical="center"/>
    </xf>
    <xf numFmtId="166" fontId="15" fillId="5"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xf>
    <xf numFmtId="1" fontId="16" fillId="0" borderId="1" xfId="0" applyNumberFormat="1" applyFont="1" applyBorder="1" applyAlignment="1">
      <alignment horizontal="center"/>
    </xf>
    <xf numFmtId="1" fontId="16" fillId="0" borderId="5" xfId="0" applyNumberFormat="1" applyFont="1" applyBorder="1" applyAlignment="1">
      <alignment horizontal="center"/>
    </xf>
    <xf numFmtId="164" fontId="16" fillId="0" borderId="5" xfId="2" applyFont="1" applyBorder="1" applyAlignment="1"/>
    <xf numFmtId="164" fontId="16" fillId="4" borderId="1" xfId="2" applyFont="1" applyFill="1" applyBorder="1" applyAlignment="1"/>
    <xf numFmtId="1" fontId="16" fillId="0" borderId="1" xfId="0" applyNumberFormat="1" applyFont="1" applyBorder="1" applyAlignment="1">
      <alignment horizontal="center" vertical="center"/>
    </xf>
    <xf numFmtId="1" fontId="16" fillId="0" borderId="5" xfId="0" applyNumberFormat="1" applyFont="1" applyBorder="1" applyAlignment="1">
      <alignment horizontal="center" vertical="center"/>
    </xf>
    <xf numFmtId="167" fontId="16" fillId="0" borderId="5" xfId="0" applyNumberFormat="1" applyFont="1" applyBorder="1" applyAlignment="1">
      <alignment vertical="center"/>
    </xf>
    <xf numFmtId="167" fontId="16" fillId="4" borderId="1" xfId="0" applyNumberFormat="1" applyFont="1" applyFill="1" applyBorder="1" applyAlignment="1">
      <alignment vertical="center"/>
    </xf>
    <xf numFmtId="2" fontId="16" fillId="0" borderId="1" xfId="0" applyNumberFormat="1" applyFont="1" applyBorder="1" applyAlignment="1">
      <alignment horizontal="center" vertical="center"/>
    </xf>
    <xf numFmtId="0" fontId="17" fillId="0" borderId="0" xfId="0" applyFont="1" applyAlignment="1">
      <alignment horizontal="right"/>
    </xf>
    <xf numFmtId="164" fontId="16" fillId="4" borderId="1" xfId="0" applyNumberFormat="1" applyFont="1" applyFill="1" applyBorder="1"/>
    <xf numFmtId="0" fontId="17" fillId="0" borderId="0" xfId="1" applyFont="1" applyAlignment="1">
      <alignment vertical="top"/>
    </xf>
    <xf numFmtId="0" fontId="17" fillId="0" borderId="0" xfId="1" applyFont="1" applyAlignment="1">
      <alignment horizontal="center" vertical="top"/>
    </xf>
    <xf numFmtId="0" fontId="17" fillId="3" borderId="0" xfId="0" applyFont="1" applyFill="1" applyAlignment="1">
      <alignment horizontal="right"/>
    </xf>
    <xf numFmtId="164" fontId="16" fillId="0" borderId="1" xfId="2" applyFont="1" applyFill="1" applyBorder="1" applyAlignment="1"/>
    <xf numFmtId="0" fontId="16" fillId="0" borderId="0" xfId="0" applyFont="1"/>
    <xf numFmtId="0" fontId="19" fillId="6" borderId="0" xfId="0" applyFont="1" applyFill="1" applyAlignment="1">
      <alignment vertical="center" wrapText="1"/>
    </xf>
    <xf numFmtId="0" fontId="14" fillId="0" borderId="0" xfId="0" applyFont="1" applyAlignment="1">
      <alignment horizontal="center" wrapText="1"/>
    </xf>
    <xf numFmtId="0" fontId="20" fillId="0" borderId="1" xfId="0" applyFont="1" applyBorder="1" applyAlignment="1">
      <alignment horizontal="center" vertical="center" wrapText="1"/>
    </xf>
    <xf numFmtId="0" fontId="21" fillId="0" borderId="0" xfId="0" applyFont="1"/>
    <xf numFmtId="44" fontId="17" fillId="7" borderId="1" xfId="0" applyNumberFormat="1" applyFont="1" applyFill="1" applyBorder="1"/>
    <xf numFmtId="0" fontId="22" fillId="0" borderId="0" xfId="0" applyFont="1" applyAlignment="1">
      <alignment horizontal="left" wrapText="1"/>
    </xf>
    <xf numFmtId="0" fontId="23" fillId="0" borderId="0" xfId="0" applyFont="1" applyAlignment="1">
      <alignment horizontal="right"/>
    </xf>
    <xf numFmtId="0" fontId="17" fillId="0" borderId="0" xfId="0" applyFont="1"/>
    <xf numFmtId="49" fontId="17" fillId="0" borderId="0" xfId="0" applyNumberFormat="1" applyFont="1" applyAlignment="1">
      <alignment horizontal="left" vertical="top"/>
    </xf>
    <xf numFmtId="165" fontId="17" fillId="0" borderId="0" xfId="0" applyNumberFormat="1" applyFont="1" applyAlignment="1">
      <alignment horizontal="right"/>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14" fillId="2" borderId="4" xfId="0" applyFont="1" applyFill="1" applyBorder="1" applyAlignment="1">
      <alignment horizontal="center" vertical="center" wrapText="1"/>
    </xf>
    <xf numFmtId="49" fontId="17" fillId="0" borderId="0" xfId="0" applyNumberFormat="1" applyFont="1"/>
    <xf numFmtId="0" fontId="17" fillId="0" borderId="9" xfId="1" applyFont="1" applyBorder="1" applyAlignment="1">
      <alignment horizontal="center" vertical="top"/>
    </xf>
    <xf numFmtId="0" fontId="14" fillId="2" borderId="2"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3"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14" fillId="2" borderId="1" xfId="0" applyFont="1" applyFill="1" applyBorder="1" applyAlignment="1">
      <alignment horizontal="center" vertical="center"/>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2" fillId="0" borderId="0" xfId="0" applyFont="1"/>
    <xf numFmtId="0" fontId="4" fillId="0" borderId="0" xfId="0" applyFont="1"/>
    <xf numFmtId="0" fontId="5" fillId="0" borderId="0" xfId="0" applyFont="1"/>
    <xf numFmtId="0" fontId="17" fillId="0" borderId="0" xfId="0" applyFont="1" applyAlignment="1">
      <alignment horizontal="center" wrapText="1"/>
    </xf>
    <xf numFmtId="0" fontId="16" fillId="0" borderId="0" xfId="0" applyFont="1" applyAlignment="1">
      <alignment horizontal="left"/>
    </xf>
    <xf numFmtId="0" fontId="17" fillId="0" borderId="0" xfId="0" applyFont="1" applyAlignment="1">
      <alignment horizontal="left"/>
    </xf>
    <xf numFmtId="0" fontId="11" fillId="0" borderId="0" xfId="0" applyFont="1" applyAlignment="1">
      <alignment horizontal="left" vertical="top" wrapText="1"/>
    </xf>
    <xf numFmtId="0" fontId="11" fillId="0" borderId="0" xfId="0" applyFont="1" applyAlignment="1">
      <alignment horizontal="center" vertical="top"/>
    </xf>
    <xf numFmtId="0" fontId="17" fillId="0" borderId="1" xfId="0" applyFont="1" applyBorder="1" applyAlignment="1">
      <alignment horizontal="left" vertical="top" wrapText="1"/>
    </xf>
    <xf numFmtId="0" fontId="17" fillId="0" borderId="9" xfId="1" applyFont="1" applyBorder="1" applyAlignment="1">
      <alignment horizontal="left" vertical="top" wrapText="1"/>
    </xf>
    <xf numFmtId="0" fontId="17" fillId="0" borderId="0" xfId="1" applyFont="1" applyAlignment="1">
      <alignment horizontal="left" vertical="top" wrapText="1"/>
    </xf>
  </cellXfs>
  <cellStyles count="3">
    <cellStyle name="Currency" xfId="2" builtinId="4"/>
    <cellStyle name="Normal" xfId="0" builtinId="0"/>
    <cellStyle name="Normal 2" xfId="1" xr:uid="{57D1C820-2446-4763-B0AB-A6AB064B8DA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6D4E8"/>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ECECEC"/>
      <rgbColor rgb="00E4EAF4"/>
      <rgbColor rgb="00CCFFCC"/>
      <rgbColor rgb="00FFFF99"/>
      <rgbColor rgb="00D9D9D9"/>
      <rgbColor rgb="00FF99CC"/>
      <rgbColor rgb="00969696"/>
      <rgbColor rgb="00FFCC99"/>
      <rgbColor rgb="003366FF"/>
      <rgbColor rgb="0033CCCC"/>
      <rgbColor rgb="0099CC00"/>
      <rgbColor rgb="00FFCC00"/>
      <rgbColor rgb="00FF9900"/>
      <rgbColor rgb="00FF6600"/>
      <rgbColor rgb="003B5E91"/>
      <rgbColor rgb="00969696"/>
      <rgbColor rgb="00003366"/>
      <rgbColor rgb="00339966"/>
      <rgbColor rgb="00003300"/>
      <rgbColor rgb="00333300"/>
      <rgbColor rgb="00993300"/>
      <rgbColor rgb="00EFEFEF"/>
      <rgbColor rgb="003B5E91"/>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6</xdr:col>
      <xdr:colOff>1272886</xdr:colOff>
      <xdr:row>1</xdr:row>
      <xdr:rowOff>139701</xdr:rowOff>
    </xdr:to>
    <xdr:sp macro="" textlink="">
      <xdr:nvSpPr>
        <xdr:cNvPr id="1025" name="Rectangle 2">
          <a:extLst>
            <a:ext uri="{FF2B5EF4-FFF2-40B4-BE49-F238E27FC236}">
              <a16:creationId xmlns:a16="http://schemas.microsoft.com/office/drawing/2014/main" id="{00000000-0008-0000-0000-000001040000}"/>
            </a:ext>
          </a:extLst>
        </xdr:cNvPr>
        <xdr:cNvSpPr>
          <a:spLocks noChangeArrowheads="1"/>
        </xdr:cNvSpPr>
      </xdr:nvSpPr>
      <xdr:spPr bwMode="auto">
        <a:xfrm>
          <a:off x="0" y="0"/>
          <a:ext cx="11464636" cy="685224"/>
        </a:xfrm>
        <a:prstGeom prst="rect">
          <a:avLst/>
        </a:prstGeom>
        <a:gradFill rotWithShape="1">
          <a:gsLst>
            <a:gs pos="0">
              <a:srgbClr val="C6D4E8"/>
            </a:gs>
            <a:gs pos="100000">
              <a:srgbClr val="FFFFFF"/>
            </a:gs>
          </a:gsLst>
          <a:lin ang="5400000" scaled="1"/>
        </a:gradFill>
        <a:ln w="9525">
          <a:noFill/>
          <a:miter lim="800000"/>
          <a:headEnd/>
          <a:tailEnd/>
        </a:ln>
      </xdr:spPr>
    </xdr:sp>
    <xdr:clientData/>
  </xdr:twoCellAnchor>
  <xdr:twoCellAnchor>
    <xdr:from>
      <xdr:col>0</xdr:col>
      <xdr:colOff>50799</xdr:colOff>
      <xdr:row>0</xdr:row>
      <xdr:rowOff>41275</xdr:rowOff>
    </xdr:from>
    <xdr:to>
      <xdr:col>3</xdr:col>
      <xdr:colOff>1339849</xdr:colOff>
      <xdr:row>4</xdr:row>
      <xdr:rowOff>34637</xdr:rowOff>
    </xdr:to>
    <xdr:sp macro="" textlink="">
      <xdr:nvSpPr>
        <xdr:cNvPr id="1028" name="Text Box 4">
          <a:extLst>
            <a:ext uri="{FF2B5EF4-FFF2-40B4-BE49-F238E27FC236}">
              <a16:creationId xmlns:a16="http://schemas.microsoft.com/office/drawing/2014/main" id="{00000000-0008-0000-0000-000004040000}"/>
            </a:ext>
          </a:extLst>
        </xdr:cNvPr>
        <xdr:cNvSpPr txBox="1">
          <a:spLocks noChangeArrowheads="1"/>
        </xdr:cNvSpPr>
      </xdr:nvSpPr>
      <xdr:spPr bwMode="auto">
        <a:xfrm>
          <a:off x="50799" y="41275"/>
          <a:ext cx="3999345" cy="1837748"/>
        </a:xfrm>
        <a:prstGeom prst="rect">
          <a:avLst/>
        </a:prstGeom>
        <a:solidFill>
          <a:srgbClr val="FFFFFF">
            <a:alpha val="0"/>
          </a:srgbClr>
        </a:solidFill>
        <a:ln w="9525">
          <a:noFill/>
          <a:miter lim="800000"/>
          <a:headEnd/>
          <a:tailEnd/>
        </a:ln>
      </xdr:spPr>
      <xdr:txBody>
        <a:bodyPr vertOverflow="clip" wrap="square" lIns="91440" tIns="45720" rIns="91440" bIns="45720" anchor="t" upright="1"/>
        <a:lstStyle/>
        <a:p>
          <a:pPr algn="l" rtl="1">
            <a:defRPr sz="1000"/>
          </a:pPr>
          <a:r>
            <a:rPr lang="en-JM" sz="1200" b="1" i="0" strike="noStrike">
              <a:solidFill>
                <a:srgbClr val="000000"/>
              </a:solidFill>
              <a:latin typeface="Trebuchet MS"/>
            </a:rPr>
            <a:t>Royale</a:t>
          </a:r>
          <a:r>
            <a:rPr lang="en-JM" sz="1200" b="1" i="0" strike="noStrike" baseline="0">
              <a:solidFill>
                <a:srgbClr val="000000"/>
              </a:solidFill>
              <a:latin typeface="Trebuchet MS"/>
            </a:rPr>
            <a:t> Computers &amp; Accessories Ltd.</a:t>
          </a:r>
          <a:endParaRPr lang="en-JM" sz="1200" b="1" i="0" strike="noStrike">
            <a:solidFill>
              <a:srgbClr val="000000"/>
            </a:solidFill>
            <a:latin typeface="Trebuchet MS"/>
          </a:endParaRPr>
        </a:p>
        <a:p>
          <a:pPr marL="0" marR="0" indent="0" algn="l" defTabSz="914400" rtl="1" eaLnBrk="1" fontAlgn="auto" latinLnBrk="0" hangingPunct="1">
            <a:lnSpc>
              <a:spcPct val="100000"/>
            </a:lnSpc>
            <a:spcBef>
              <a:spcPts val="0"/>
            </a:spcBef>
            <a:spcAft>
              <a:spcPts val="0"/>
            </a:spcAft>
            <a:buClrTx/>
            <a:buSzTx/>
            <a:buFontTx/>
            <a:buNone/>
            <a:tabLst/>
            <a:defRPr sz="1000"/>
          </a:pPr>
          <a:r>
            <a:rPr lang="en-JM" sz="1000" b="0" i="1">
              <a:latin typeface="+mn-lt"/>
              <a:ea typeface="+mn-ea"/>
              <a:cs typeface="+mn-cs"/>
            </a:rPr>
            <a:t>GCT</a:t>
          </a:r>
          <a:r>
            <a:rPr lang="en-JM" sz="1000" b="0" i="1" baseline="0">
              <a:latin typeface="+mn-lt"/>
              <a:ea typeface="+mn-ea"/>
              <a:cs typeface="+mn-cs"/>
            </a:rPr>
            <a:t> # 001710184</a:t>
          </a:r>
          <a:endParaRPr lang="en-JM" sz="1000" b="0" i="1">
            <a:latin typeface="+mn-lt"/>
            <a:ea typeface="+mn-ea"/>
            <a:cs typeface="+mn-cs"/>
          </a:endParaRPr>
        </a:p>
        <a:p>
          <a:pPr algn="l" rtl="1">
            <a:defRPr sz="1000"/>
          </a:pPr>
          <a:endParaRPr lang="en-JM" sz="900" b="0" i="1" strike="noStrike">
            <a:solidFill>
              <a:srgbClr val="000000"/>
            </a:solidFill>
            <a:latin typeface="Trebuchet MS"/>
          </a:endParaRPr>
        </a:p>
        <a:p>
          <a:pPr algn="l" rtl="1">
            <a:defRPr sz="1000"/>
          </a:pPr>
          <a:endParaRPr lang="en-JM" sz="900" b="0" i="1" strike="noStrike">
            <a:solidFill>
              <a:srgbClr val="000000"/>
            </a:solidFill>
            <a:latin typeface="Trebuchet MS"/>
          </a:endParaRPr>
        </a:p>
        <a:p>
          <a:pPr algn="l" rtl="1">
            <a:defRPr sz="1000"/>
          </a:pPr>
          <a:r>
            <a:rPr lang="en-JM" sz="1000" b="0" i="1" strike="noStrike">
              <a:solidFill>
                <a:srgbClr val="000000"/>
              </a:solidFill>
              <a:latin typeface="+mn-lt"/>
            </a:rPr>
            <a:t>Business Solutions Division</a:t>
          </a:r>
        </a:p>
        <a:p>
          <a:pPr algn="l" rtl="1">
            <a:defRPr sz="1000"/>
          </a:pPr>
          <a:r>
            <a:rPr lang="en-JM" sz="1000" b="0" i="1" strike="noStrike">
              <a:solidFill>
                <a:srgbClr val="000000"/>
              </a:solidFill>
              <a:latin typeface="+mn-lt"/>
            </a:rPr>
            <a:t>16 South Avenue Kingston 10</a:t>
          </a:r>
        </a:p>
        <a:p>
          <a:pPr algn="l" rtl="1">
            <a:defRPr sz="1000"/>
          </a:pPr>
          <a:endParaRPr lang="en-JM" sz="1000" b="0" i="1" strike="noStrike">
            <a:solidFill>
              <a:srgbClr val="000000"/>
            </a:solidFill>
            <a:latin typeface="+mn-lt"/>
          </a:endParaRPr>
        </a:p>
        <a:p>
          <a:pPr algn="l" rtl="1">
            <a:defRPr sz="1000"/>
          </a:pPr>
          <a:r>
            <a:rPr lang="en-JM" sz="1000" b="0" i="1" strike="noStrike">
              <a:solidFill>
                <a:srgbClr val="000000"/>
              </a:solidFill>
              <a:latin typeface="+mn-lt"/>
            </a:rPr>
            <a:t>Tel:906-1067-8 </a:t>
          </a:r>
        </a:p>
        <a:p>
          <a:pPr algn="l" rtl="1">
            <a:defRPr sz="1000"/>
          </a:pPr>
          <a:endParaRPr lang="en-JM" sz="1000" b="0" i="1" strike="noStrike">
            <a:solidFill>
              <a:srgbClr val="000000"/>
            </a:solidFill>
            <a:latin typeface="+mn-lt"/>
          </a:endParaRPr>
        </a:p>
        <a:p>
          <a:pPr algn="l" rtl="1">
            <a:defRPr sz="1000"/>
          </a:pPr>
          <a:r>
            <a:rPr lang="en-JM" sz="1000" b="0" i="1" strike="noStrike">
              <a:solidFill>
                <a:srgbClr val="000000"/>
              </a:solidFill>
              <a:latin typeface="+mn-lt"/>
            </a:rPr>
            <a:t>Email: kharding@royalecomputers.com</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
  <sheetViews>
    <sheetView showGridLines="0" tabSelected="1" zoomScale="110" zoomScaleNormal="110" zoomScaleSheetLayoutView="70" workbookViewId="0">
      <selection activeCell="G19" sqref="G19"/>
    </sheetView>
  </sheetViews>
  <sheetFormatPr defaultColWidth="9.140625" defaultRowHeight="15" x14ac:dyDescent="0.3"/>
  <cols>
    <col min="1" max="1" width="7.42578125" style="1" customWidth="1"/>
    <col min="2" max="2" width="32.7109375" style="1" customWidth="1"/>
    <col min="3" max="3" width="16.5703125" style="1" customWidth="1"/>
    <col min="4" max="4" width="20.85546875" style="1" customWidth="1"/>
    <col min="5" max="5" width="57" style="1" customWidth="1"/>
    <col min="6" max="6" width="18.140625" style="1" customWidth="1"/>
    <col min="7" max="7" width="22.140625" style="1" customWidth="1"/>
    <col min="8" max="16384" width="9.140625" style="1"/>
  </cols>
  <sheetData>
    <row r="1" spans="1:7" ht="42.75" customHeight="1" x14ac:dyDescent="0.3">
      <c r="C1"/>
      <c r="D1"/>
      <c r="E1"/>
      <c r="F1"/>
      <c r="G1"/>
    </row>
    <row r="2" spans="1:7" ht="42.75" customHeight="1" x14ac:dyDescent="0.3">
      <c r="C2"/>
      <c r="D2"/>
      <c r="E2"/>
      <c r="F2"/>
      <c r="G2"/>
    </row>
    <row r="3" spans="1:7" ht="42.75" customHeight="1" x14ac:dyDescent="0.3">
      <c r="C3"/>
      <c r="D3"/>
      <c r="E3"/>
      <c r="F3"/>
      <c r="G3"/>
    </row>
    <row r="4" spans="1:7" ht="16.5" customHeight="1" x14ac:dyDescent="0.3">
      <c r="A4" s="57"/>
      <c r="B4" s="57"/>
      <c r="C4" s="58"/>
      <c r="D4" s="56"/>
      <c r="E4" s="56"/>
      <c r="F4" s="56"/>
      <c r="G4" s="56"/>
    </row>
    <row r="5" spans="1:7" s="2" customFormat="1" ht="18.75" customHeight="1" x14ac:dyDescent="0.3">
      <c r="A5" s="9" t="s">
        <v>6</v>
      </c>
      <c r="B5" s="38" t="s">
        <v>17</v>
      </c>
      <c r="C5" s="38"/>
      <c r="D5" s="38"/>
      <c r="E5" s="30"/>
      <c r="F5" s="24" t="s">
        <v>16</v>
      </c>
      <c r="G5" s="39" t="s">
        <v>25</v>
      </c>
    </row>
    <row r="6" spans="1:7" s="2" customFormat="1" ht="15" customHeight="1" x14ac:dyDescent="0.3">
      <c r="A6" s="10"/>
      <c r="B6" s="60" t="s">
        <v>18</v>
      </c>
      <c r="C6" s="60"/>
      <c r="E6" s="30"/>
      <c r="F6" s="40" t="s">
        <v>9</v>
      </c>
      <c r="G6" s="45" t="s">
        <v>24</v>
      </c>
    </row>
    <row r="7" spans="1:7" s="2" customFormat="1" ht="17.25" customHeight="1" x14ac:dyDescent="0.3">
      <c r="A7" s="9"/>
      <c r="B7" s="61"/>
      <c r="C7" s="61"/>
      <c r="E7" s="59"/>
      <c r="F7" s="59"/>
      <c r="G7" s="59"/>
    </row>
    <row r="8" spans="1:7" s="2" customFormat="1" ht="15" customHeight="1" x14ac:dyDescent="0.3">
      <c r="C8" s="37"/>
      <c r="E8" s="36"/>
      <c r="F8" s="32"/>
      <c r="G8" s="32"/>
    </row>
    <row r="9" spans="1:7" s="2" customFormat="1" ht="15" customHeight="1" thickBot="1" x14ac:dyDescent="0.35">
      <c r="E9" s="11"/>
      <c r="F9" s="11"/>
      <c r="G9" s="11"/>
    </row>
    <row r="10" spans="1:7" ht="44.25" customHeight="1" x14ac:dyDescent="0.3">
      <c r="A10" s="47" t="s">
        <v>7</v>
      </c>
      <c r="B10" s="48"/>
      <c r="C10" s="49"/>
      <c r="D10" s="12" t="s">
        <v>3</v>
      </c>
      <c r="E10" s="47" t="s">
        <v>5</v>
      </c>
      <c r="F10" s="49"/>
      <c r="G10" s="44" t="s">
        <v>19</v>
      </c>
    </row>
    <row r="11" spans="1:7" s="34" customFormat="1" ht="67.349999999999994" customHeight="1" x14ac:dyDescent="0.3">
      <c r="A11" s="50" t="s">
        <v>11</v>
      </c>
      <c r="B11" s="50"/>
      <c r="C11" s="50"/>
      <c r="D11" s="33" t="s">
        <v>8</v>
      </c>
      <c r="E11" s="51"/>
      <c r="F11" s="51"/>
      <c r="G11" s="13" t="s">
        <v>22</v>
      </c>
    </row>
    <row r="12" spans="1:7" ht="15.95" customHeight="1" x14ac:dyDescent="0.3">
      <c r="A12" s="14" t="s">
        <v>10</v>
      </c>
      <c r="B12" s="14" t="s">
        <v>12</v>
      </c>
      <c r="C12" s="52" t="s">
        <v>0</v>
      </c>
      <c r="D12" s="52"/>
      <c r="E12" s="52"/>
      <c r="F12" s="14" t="s">
        <v>1</v>
      </c>
      <c r="G12" s="14" t="s">
        <v>2</v>
      </c>
    </row>
    <row r="13" spans="1:7" s="7" customFormat="1" ht="18.75" x14ac:dyDescent="0.3">
      <c r="A13" s="15">
        <v>1</v>
      </c>
      <c r="B13" s="16" t="s">
        <v>26</v>
      </c>
      <c r="C13" s="53" t="s">
        <v>27</v>
      </c>
      <c r="D13" s="54"/>
      <c r="E13" s="55"/>
      <c r="F13" s="17">
        <v>80537.490000000005</v>
      </c>
      <c r="G13" s="18">
        <f>F13*A13</f>
        <v>80537.490000000005</v>
      </c>
    </row>
    <row r="14" spans="1:7" s="7" customFormat="1" ht="18.75" x14ac:dyDescent="0.3">
      <c r="A14" s="15"/>
      <c r="B14" s="16"/>
      <c r="C14" s="53"/>
      <c r="D14" s="54"/>
      <c r="E14" s="55"/>
      <c r="F14" s="17"/>
      <c r="G14" s="18"/>
    </row>
    <row r="15" spans="1:7" s="7" customFormat="1" ht="18.75" x14ac:dyDescent="0.25">
      <c r="A15" s="19">
        <v>1</v>
      </c>
      <c r="B15" s="20" t="s">
        <v>20</v>
      </c>
      <c r="C15" s="53" t="s">
        <v>21</v>
      </c>
      <c r="D15" s="54"/>
      <c r="E15" s="55"/>
      <c r="F15" s="21">
        <v>1000</v>
      </c>
      <c r="G15" s="22">
        <f>F15*A15</f>
        <v>1000</v>
      </c>
    </row>
    <row r="16" spans="1:7" s="7" customFormat="1" ht="18.75" x14ac:dyDescent="0.25">
      <c r="A16" s="19"/>
      <c r="B16" s="20"/>
      <c r="C16" s="53"/>
      <c r="D16" s="54"/>
      <c r="E16" s="55"/>
      <c r="F16" s="21"/>
      <c r="G16" s="22"/>
    </row>
    <row r="17" spans="1:15" s="7" customFormat="1" ht="18.75" x14ac:dyDescent="0.25">
      <c r="A17" s="19"/>
      <c r="B17" s="20"/>
      <c r="C17" s="41"/>
      <c r="D17" s="42"/>
      <c r="E17" s="43"/>
      <c r="F17" s="21"/>
      <c r="G17" s="22"/>
    </row>
    <row r="18" spans="1:15" s="7" customFormat="1" ht="21.75" customHeight="1" x14ac:dyDescent="0.25">
      <c r="A18" s="23"/>
      <c r="B18" s="23"/>
      <c r="C18" s="64"/>
      <c r="D18" s="64"/>
      <c r="E18" s="64"/>
      <c r="F18" s="21"/>
      <c r="G18" s="22"/>
      <c r="L18" s="63"/>
      <c r="M18" s="62"/>
      <c r="N18" s="62"/>
      <c r="O18" s="62"/>
    </row>
    <row r="19" spans="1:15" s="7" customFormat="1" ht="18.75" customHeight="1" x14ac:dyDescent="0.3">
      <c r="A19" s="46" t="s">
        <v>13</v>
      </c>
      <c r="B19" s="46"/>
      <c r="C19" s="65" t="s">
        <v>23</v>
      </c>
      <c r="D19" s="65"/>
      <c r="E19" s="65"/>
      <c r="F19" s="24" t="s">
        <v>15</v>
      </c>
      <c r="G19" s="25">
        <f>SUM(G13:G17)</f>
        <v>81537.490000000005</v>
      </c>
      <c r="L19" s="63"/>
      <c r="M19" s="62"/>
      <c r="N19" s="62"/>
      <c r="O19" s="62"/>
    </row>
    <row r="20" spans="1:15" s="7" customFormat="1" ht="18.75" x14ac:dyDescent="0.3">
      <c r="A20" s="26"/>
      <c r="B20" s="27"/>
      <c r="C20" s="66"/>
      <c r="D20" s="66"/>
      <c r="E20" s="66"/>
      <c r="F20" s="28" t="s">
        <v>4</v>
      </c>
      <c r="G20" s="29">
        <f>SUM(G19*15%)</f>
        <v>12230.6235</v>
      </c>
      <c r="L20" s="63"/>
      <c r="M20" s="62"/>
      <c r="N20" s="62"/>
      <c r="O20" s="62"/>
    </row>
    <row r="21" spans="1:15" s="7" customFormat="1" ht="18.75" x14ac:dyDescent="0.3">
      <c r="A21" s="26"/>
      <c r="B21" s="27"/>
      <c r="C21" s="66"/>
      <c r="D21" s="66"/>
      <c r="E21" s="66"/>
      <c r="F21" s="24" t="s">
        <v>14</v>
      </c>
      <c r="G21" s="35">
        <f>SUM(G19:G20)</f>
        <v>93768.113500000007</v>
      </c>
      <c r="L21" s="63"/>
      <c r="M21" s="62"/>
      <c r="N21" s="62"/>
      <c r="O21" s="62"/>
    </row>
    <row r="22" spans="1:15" s="7" customFormat="1" ht="17.45" customHeight="1" x14ac:dyDescent="0.3">
      <c r="A22" s="26"/>
      <c r="B22" s="27"/>
      <c r="C22" s="66"/>
      <c r="D22" s="66"/>
      <c r="E22" s="66"/>
      <c r="F22" s="24"/>
      <c r="G22" s="30"/>
    </row>
    <row r="23" spans="1:15" s="7" customFormat="1" ht="73.5" customHeight="1" x14ac:dyDescent="0.3">
      <c r="A23" s="26"/>
      <c r="B23" s="27"/>
      <c r="C23" s="66"/>
      <c r="D23" s="66"/>
      <c r="E23" s="66"/>
      <c r="F23" s="31"/>
      <c r="G23" s="30"/>
    </row>
    <row r="24" spans="1:15" s="7" customFormat="1" ht="15" customHeight="1" x14ac:dyDescent="0.25">
      <c r="A24" s="8"/>
      <c r="B24" s="8"/>
      <c r="C24" s="66"/>
      <c r="D24" s="66"/>
      <c r="E24" s="66"/>
    </row>
    <row r="25" spans="1:15" s="7" customFormat="1" ht="15.75" x14ac:dyDescent="0.25">
      <c r="A25" s="8"/>
      <c r="B25" s="8"/>
      <c r="C25" s="66"/>
      <c r="D25" s="66"/>
      <c r="E25" s="66"/>
    </row>
    <row r="26" spans="1:15" x14ac:dyDescent="0.3">
      <c r="A26" s="6"/>
      <c r="B26" s="6"/>
      <c r="C26" s="66"/>
      <c r="D26" s="66"/>
      <c r="E26" s="66"/>
    </row>
    <row r="27" spans="1:15" x14ac:dyDescent="0.3">
      <c r="A27" s="6"/>
      <c r="B27" s="6"/>
      <c r="C27" s="66"/>
      <c r="D27" s="66"/>
      <c r="E27" s="66"/>
    </row>
    <row r="28" spans="1:15" x14ac:dyDescent="0.3">
      <c r="A28" s="6"/>
      <c r="B28" s="6"/>
      <c r="C28" s="66"/>
      <c r="D28" s="66"/>
      <c r="E28" s="66"/>
    </row>
    <row r="29" spans="1:15" x14ac:dyDescent="0.3">
      <c r="A29" s="6"/>
      <c r="B29" s="6"/>
      <c r="C29" s="66"/>
      <c r="D29" s="66"/>
      <c r="E29" s="66"/>
    </row>
    <row r="30" spans="1:15" ht="15" customHeight="1" x14ac:dyDescent="0.3">
      <c r="A30" s="6"/>
      <c r="B30" s="6"/>
      <c r="C30" s="66"/>
      <c r="D30" s="66"/>
      <c r="E30" s="66"/>
    </row>
    <row r="31" spans="1:15" ht="15" customHeight="1" x14ac:dyDescent="0.3">
      <c r="A31" s="6"/>
      <c r="B31" s="6"/>
      <c r="C31" s="66"/>
      <c r="D31" s="66"/>
      <c r="E31" s="66"/>
    </row>
    <row r="32" spans="1:15" ht="15" customHeight="1" x14ac:dyDescent="0.3">
      <c r="A32" s="6"/>
      <c r="B32" s="6"/>
      <c r="C32" s="66"/>
      <c r="D32" s="66"/>
      <c r="E32" s="66"/>
    </row>
    <row r="33" spans="1:7" ht="15" customHeight="1" x14ac:dyDescent="0.3">
      <c r="A33" s="6"/>
      <c r="B33" s="6"/>
      <c r="C33" s="66"/>
      <c r="D33" s="66"/>
      <c r="E33" s="66"/>
    </row>
    <row r="34" spans="1:7" ht="15" customHeight="1" x14ac:dyDescent="0.3">
      <c r="A34" s="6"/>
      <c r="B34" s="6"/>
      <c r="C34" s="66"/>
      <c r="D34" s="66"/>
      <c r="E34" s="66"/>
    </row>
    <row r="35" spans="1:7" ht="15" customHeight="1" x14ac:dyDescent="0.3">
      <c r="A35" s="6"/>
      <c r="B35" s="6"/>
      <c r="C35" s="66"/>
      <c r="D35" s="66"/>
      <c r="E35" s="66"/>
    </row>
    <row r="36" spans="1:7" ht="15" customHeight="1" x14ac:dyDescent="0.3">
      <c r="A36" s="6"/>
      <c r="B36" s="6"/>
      <c r="C36" s="6"/>
      <c r="D36" s="6"/>
      <c r="E36" s="6"/>
    </row>
    <row r="37" spans="1:7" ht="15.75" customHeight="1" x14ac:dyDescent="0.3">
      <c r="A37" s="6"/>
      <c r="B37" s="6"/>
      <c r="C37" s="6"/>
      <c r="D37" s="6"/>
      <c r="E37" s="6"/>
      <c r="F37" s="6"/>
    </row>
    <row r="38" spans="1:7" ht="18.75" customHeight="1" x14ac:dyDescent="0.3">
      <c r="A38" s="6"/>
      <c r="B38" s="6"/>
      <c r="C38" s="6"/>
      <c r="D38" s="6"/>
      <c r="E38" s="6"/>
      <c r="F38" s="6"/>
    </row>
    <row r="39" spans="1:7" ht="15" customHeight="1" x14ac:dyDescent="0.3">
      <c r="A39" s="6"/>
      <c r="B39" s="6"/>
      <c r="C39" s="6"/>
      <c r="D39" s="6"/>
      <c r="E39" s="6"/>
    </row>
    <row r="40" spans="1:7" ht="15" customHeight="1" x14ac:dyDescent="0.3">
      <c r="A40" s="6"/>
      <c r="B40" s="6"/>
      <c r="C40" s="6"/>
      <c r="D40" s="6"/>
      <c r="E40" s="6"/>
    </row>
    <row r="41" spans="1:7" ht="15.75" customHeight="1" x14ac:dyDescent="0.3">
      <c r="A41" s="6"/>
      <c r="B41" s="6"/>
      <c r="C41" s="6"/>
      <c r="D41" s="6"/>
      <c r="E41" s="6"/>
    </row>
    <row r="42" spans="1:7" ht="15" customHeight="1" x14ac:dyDescent="0.3">
      <c r="A42" s="6"/>
      <c r="B42" s="6"/>
      <c r="C42" s="6"/>
      <c r="D42" s="6"/>
      <c r="E42" s="6"/>
      <c r="F42" s="4"/>
      <c r="G42" s="3"/>
    </row>
    <row r="43" spans="1:7" ht="15" customHeight="1" x14ac:dyDescent="0.3">
      <c r="A43" s="6"/>
      <c r="B43" s="6"/>
      <c r="C43" s="6"/>
      <c r="D43" s="6"/>
      <c r="E43" s="6"/>
      <c r="F43" s="4"/>
      <c r="G43" s="3"/>
    </row>
    <row r="44" spans="1:7" ht="15" customHeight="1" x14ac:dyDescent="0.3">
      <c r="A44" s="6"/>
      <c r="B44" s="6"/>
      <c r="C44" s="6"/>
      <c r="D44" s="6"/>
      <c r="E44" s="6"/>
    </row>
    <row r="45" spans="1:7" ht="15" customHeight="1" x14ac:dyDescent="0.3">
      <c r="A45" s="6"/>
      <c r="B45" s="6"/>
      <c r="C45" s="6"/>
      <c r="D45" s="6"/>
      <c r="E45" s="6"/>
    </row>
    <row r="46" spans="1:7" ht="15" customHeight="1" x14ac:dyDescent="0.3">
      <c r="A46" s="6"/>
      <c r="B46" s="6"/>
      <c r="C46" s="6"/>
      <c r="D46" s="6"/>
      <c r="E46" s="6"/>
    </row>
    <row r="47" spans="1:7" ht="15" customHeight="1" x14ac:dyDescent="0.3">
      <c r="A47" s="6"/>
      <c r="B47" s="6"/>
      <c r="C47" s="6"/>
      <c r="D47" s="6"/>
      <c r="E47" s="6"/>
      <c r="G47" s="5"/>
    </row>
    <row r="48" spans="1:7" ht="15" customHeight="1" x14ac:dyDescent="0.3">
      <c r="A48" s="6"/>
      <c r="B48" s="6"/>
      <c r="C48" s="6"/>
      <c r="D48" s="6"/>
      <c r="E48" s="6"/>
    </row>
    <row r="49" spans="1:7" ht="15" customHeight="1" x14ac:dyDescent="0.3">
      <c r="A49" s="6"/>
      <c r="B49" s="6"/>
      <c r="C49" s="6"/>
      <c r="D49" s="6"/>
      <c r="E49" s="6"/>
    </row>
    <row r="50" spans="1:7" ht="15" customHeight="1" x14ac:dyDescent="0.3">
      <c r="A50" s="6"/>
      <c r="B50" s="6"/>
      <c r="C50" s="6"/>
      <c r="D50" s="6"/>
      <c r="E50" s="6"/>
    </row>
    <row r="51" spans="1:7" ht="15" customHeight="1" x14ac:dyDescent="0.3">
      <c r="A51" s="6"/>
      <c r="B51" s="6"/>
      <c r="C51" s="6"/>
      <c r="D51" s="6"/>
      <c r="E51" s="6"/>
      <c r="F51" s="6"/>
    </row>
    <row r="52" spans="1:7" ht="15" customHeight="1" x14ac:dyDescent="0.3">
      <c r="A52" s="6"/>
      <c r="B52" s="6"/>
      <c r="C52" s="6"/>
      <c r="D52" s="6"/>
      <c r="E52" s="6"/>
    </row>
    <row r="53" spans="1:7" ht="15" customHeight="1" x14ac:dyDescent="0.3">
      <c r="A53" s="6"/>
      <c r="B53" s="6"/>
      <c r="C53" s="6"/>
      <c r="D53" s="6"/>
      <c r="E53" s="6"/>
    </row>
    <row r="54" spans="1:7" ht="18" customHeight="1" x14ac:dyDescent="0.3">
      <c r="A54" s="6"/>
      <c r="B54" s="6"/>
      <c r="C54" s="6"/>
      <c r="D54" s="6"/>
      <c r="E54" s="6"/>
      <c r="F54" s="6"/>
      <c r="G54" s="6"/>
    </row>
    <row r="55" spans="1:7" ht="15" customHeight="1" x14ac:dyDescent="0.3">
      <c r="A55" s="6"/>
      <c r="B55" s="6"/>
      <c r="C55" s="6"/>
      <c r="D55" s="6"/>
      <c r="E55" s="6"/>
    </row>
    <row r="56" spans="1:7" ht="15" customHeight="1" x14ac:dyDescent="0.3">
      <c r="A56" s="6"/>
      <c r="B56" s="6"/>
      <c r="C56" s="6"/>
      <c r="D56" s="6"/>
      <c r="E56" s="6"/>
    </row>
    <row r="57" spans="1:7" ht="15" customHeight="1" x14ac:dyDescent="0.3">
      <c r="A57" s="6"/>
      <c r="B57" s="6"/>
      <c r="C57" s="6"/>
      <c r="D57" s="6"/>
      <c r="E57" s="6"/>
    </row>
    <row r="58" spans="1:7" ht="15" customHeight="1" x14ac:dyDescent="0.3">
      <c r="A58" s="6"/>
      <c r="B58" s="6"/>
      <c r="C58" s="6"/>
      <c r="D58" s="6"/>
      <c r="E58" s="6"/>
    </row>
    <row r="59" spans="1:7" x14ac:dyDescent="0.3">
      <c r="A59" s="6"/>
      <c r="B59" s="6"/>
      <c r="C59" s="6"/>
      <c r="D59" s="6"/>
      <c r="E59" s="6"/>
    </row>
    <row r="60" spans="1:7" ht="15" customHeight="1" x14ac:dyDescent="0.3">
      <c r="A60" s="6"/>
      <c r="B60" s="6"/>
      <c r="C60" s="6"/>
      <c r="D60" s="6"/>
      <c r="E60" s="6"/>
    </row>
    <row r="61" spans="1:7" ht="15" customHeight="1" x14ac:dyDescent="0.3">
      <c r="A61" s="6"/>
      <c r="B61" s="6"/>
      <c r="C61" s="6"/>
      <c r="D61" s="6"/>
      <c r="E61" s="6"/>
    </row>
    <row r="62" spans="1:7" ht="14.25" customHeight="1" x14ac:dyDescent="0.3">
      <c r="A62" s="6"/>
      <c r="B62" s="6"/>
      <c r="C62" s="6"/>
      <c r="D62" s="6"/>
      <c r="E62" s="6"/>
      <c r="F62" s="6"/>
      <c r="G62" s="6"/>
    </row>
    <row r="63" spans="1:7" ht="15" customHeight="1" x14ac:dyDescent="0.3">
      <c r="A63" s="6"/>
      <c r="B63" s="6"/>
      <c r="C63" s="6"/>
      <c r="D63" s="6"/>
      <c r="E63" s="6"/>
    </row>
    <row r="64" spans="1:7" ht="15" customHeight="1" x14ac:dyDescent="0.3">
      <c r="A64" s="6"/>
      <c r="B64" s="6"/>
      <c r="C64" s="6"/>
      <c r="D64" s="6"/>
      <c r="E64" s="6"/>
    </row>
    <row r="65" spans="1:7" ht="15" customHeight="1" x14ac:dyDescent="0.3">
      <c r="A65" s="6"/>
      <c r="B65" s="6"/>
      <c r="C65" s="6"/>
      <c r="D65" s="6"/>
      <c r="E65" s="6"/>
    </row>
    <row r="66" spans="1:7" ht="15" customHeight="1" x14ac:dyDescent="0.3">
      <c r="A66" s="6"/>
      <c r="B66" s="6"/>
      <c r="C66" s="6"/>
      <c r="D66" s="6"/>
      <c r="E66" s="6"/>
    </row>
    <row r="67" spans="1:7" ht="15" customHeight="1" x14ac:dyDescent="0.3">
      <c r="A67" s="6"/>
      <c r="B67" s="6"/>
      <c r="C67" s="6"/>
      <c r="D67" s="6"/>
      <c r="E67" s="6"/>
    </row>
    <row r="68" spans="1:7" ht="15" customHeight="1" x14ac:dyDescent="0.3">
      <c r="A68" s="6"/>
      <c r="B68" s="6"/>
      <c r="C68" s="6"/>
      <c r="D68" s="6"/>
      <c r="E68" s="6"/>
    </row>
    <row r="69" spans="1:7" ht="15" customHeight="1" x14ac:dyDescent="0.3">
      <c r="A69" s="6"/>
      <c r="B69" s="6"/>
      <c r="C69" s="6"/>
      <c r="D69" s="6"/>
      <c r="E69" s="6"/>
    </row>
    <row r="70" spans="1:7" ht="14.25" customHeight="1" x14ac:dyDescent="0.3">
      <c r="A70" s="6"/>
      <c r="B70" s="6"/>
      <c r="C70" s="6"/>
      <c r="D70" s="6"/>
      <c r="E70" s="6"/>
    </row>
    <row r="71" spans="1:7" ht="15" customHeight="1" x14ac:dyDescent="0.3">
      <c r="A71" s="6"/>
      <c r="B71" s="6"/>
      <c r="C71" s="6"/>
      <c r="D71" s="6"/>
      <c r="E71" s="6"/>
    </row>
    <row r="72" spans="1:7" ht="16.5" customHeight="1" x14ac:dyDescent="0.3">
      <c r="A72" s="6"/>
      <c r="B72" s="6"/>
      <c r="C72" s="6"/>
      <c r="D72" s="6"/>
      <c r="E72" s="6"/>
      <c r="F72" s="6"/>
      <c r="G72" s="6"/>
    </row>
    <row r="73" spans="1:7" ht="15" customHeight="1" x14ac:dyDescent="0.3"/>
    <row r="74" spans="1:7" ht="15" customHeight="1" x14ac:dyDescent="0.3"/>
    <row r="75" spans="1:7" ht="15" customHeight="1" x14ac:dyDescent="0.3"/>
    <row r="76" spans="1:7" ht="15" customHeight="1" x14ac:dyDescent="0.3"/>
    <row r="77" spans="1:7" ht="15" customHeight="1" x14ac:dyDescent="0.3"/>
    <row r="78" spans="1:7" ht="15" customHeight="1" x14ac:dyDescent="0.3"/>
    <row r="79" spans="1:7" ht="15.75" customHeight="1" x14ac:dyDescent="0.3"/>
    <row r="80" spans="1:7" ht="15" customHeight="1" x14ac:dyDescent="0.3"/>
  </sheetData>
  <sheetProtection algorithmName="SHA-512" hashValue="av14YszXPxKJ+WRCK/8hUEQ04+/LCT1E0dmh1fa3w/ihN5IoUp9HSEqAnZ1KyUG/S3tstl5U27WW0HTTUh2/bA==" saltValue="XwO5fKQijfHtQV907hudQA==" spinCount="100000" sheet="1" objects="1" scenarios="1"/>
  <mergeCells count="19">
    <mergeCell ref="M18:O21"/>
    <mergeCell ref="L18:L21"/>
    <mergeCell ref="C18:E18"/>
    <mergeCell ref="C13:E13"/>
    <mergeCell ref="C19:E35"/>
    <mergeCell ref="D4:G4"/>
    <mergeCell ref="A4:C4"/>
    <mergeCell ref="E7:G7"/>
    <mergeCell ref="B6:C6"/>
    <mergeCell ref="B7:C7"/>
    <mergeCell ref="A19:B19"/>
    <mergeCell ref="A10:C10"/>
    <mergeCell ref="A11:C11"/>
    <mergeCell ref="E10:F10"/>
    <mergeCell ref="E11:F11"/>
    <mergeCell ref="C12:E12"/>
    <mergeCell ref="C15:E15"/>
    <mergeCell ref="C16:E16"/>
    <mergeCell ref="C14:E14"/>
  </mergeCells>
  <phoneticPr fontId="1" type="noConversion"/>
  <printOptions horizontalCentered="1"/>
  <pageMargins left="0.55118110236220474" right="0.59055118110236227" top="0.51181102362204722" bottom="0.51181102362204722" header="0.51181102362204722" footer="0.51181102362204722"/>
  <pageSetup scale="54"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E26E94FFD387F47BF55DF7EACFE71E1" ma:contentTypeVersion="13" ma:contentTypeDescription="Create a new document." ma:contentTypeScope="" ma:versionID="b6fbd6807eb59482a905b76fce91f1fe">
  <xsd:schema xmlns:xsd="http://www.w3.org/2001/XMLSchema" xmlns:xs="http://www.w3.org/2001/XMLSchema" xmlns:p="http://schemas.microsoft.com/office/2006/metadata/properties" xmlns:ns3="77da1c8e-60cc-47ae-9aa8-5814a517800b" xmlns:ns4="30e6fa78-6f9e-40cf-b9f8-bf6dca708676" targetNamespace="http://schemas.microsoft.com/office/2006/metadata/properties" ma:root="true" ma:fieldsID="52d93180532ab954434922e790b2159c" ns3:_="" ns4:_="">
    <xsd:import namespace="77da1c8e-60cc-47ae-9aa8-5814a517800b"/>
    <xsd:import namespace="30e6fa78-6f9e-40cf-b9f8-bf6dca7086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Location" minOccurs="0"/>
                <xsd:element ref="ns4:MediaServiceOCR"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a1c8e-60cc-47ae-9aa8-5814a517800b"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e6fa78-6f9e-40cf-b9f8-bf6dca708676"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C14988-6108-4D88-A18B-818C3D0245B1}">
  <ds:schemaRefs>
    <ds:schemaRef ds:uri="http://schemas.microsoft.com/sharepoint/v3/contenttype/forms"/>
  </ds:schemaRefs>
</ds:datastoreItem>
</file>

<file path=customXml/itemProps2.xml><?xml version="1.0" encoding="utf-8"?>
<ds:datastoreItem xmlns:ds="http://schemas.openxmlformats.org/officeDocument/2006/customXml" ds:itemID="{A84EAE92-CD2E-4E7F-A842-88A7524638CC}">
  <ds:schemaRefs>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77da1c8e-60cc-47ae-9aa8-5814a517800b"/>
    <ds:schemaRef ds:uri="http://schemas.microsoft.com/office/infopath/2007/PartnerControls"/>
    <ds:schemaRef ds:uri="http://purl.org/dc/terms/"/>
    <ds:schemaRef ds:uri="30e6fa78-6f9e-40cf-b9f8-bf6dca708676"/>
    <ds:schemaRef ds:uri="http://purl.org/dc/dcmitype/"/>
  </ds:schemaRefs>
</ds:datastoreItem>
</file>

<file path=customXml/itemProps3.xml><?xml version="1.0" encoding="utf-8"?>
<ds:datastoreItem xmlns:ds="http://schemas.openxmlformats.org/officeDocument/2006/customXml" ds:itemID="{A1455420-2E9B-4E2A-80CA-6C1AAD5153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da1c8e-60cc-47ae-9aa8-5814a517800b"/>
    <ds:schemaRef ds:uri="30e6fa78-6f9e-40cf-b9f8-bf6dca70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Pro-forma invoice</vt:lpstr>
      <vt:lpstr>'Pro-forma invoice'!Print_Area</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KAYDIAN</dc:creator>
  <cp:lastModifiedBy>Shaquille Murray</cp:lastModifiedBy>
  <cp:lastPrinted>2023-10-02T15:01:46Z</cp:lastPrinted>
  <dcterms:created xsi:type="dcterms:W3CDTF">2006-01-23T19:37:33Z</dcterms:created>
  <dcterms:modified xsi:type="dcterms:W3CDTF">2026-05-04T16:57:44Z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TC101514041033</vt:lpwstr>
  </property>
  <property fmtid="{D5CDD505-2E9C-101B-9397-08002B2CF9AE}" pid="3" name="ContentTypeId">
    <vt:lpwstr>0x0101005E26E94FFD387F47BF55DF7EACFE71E1</vt:lpwstr>
  </property>
</Properties>
</file>